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riginal" sheetId="1" state="visible" r:id="rId1"/>
    <sheet name="Bakery" sheetId="2" state="visible" r:id="rId2"/>
  </sheets>
  <definedNames>
    <definedName name="_xlnm.Print_Area" localSheetId="0">'Original'!$A$2:$AL$34</definedName>
    <definedName name="_xlnm.Print_Area" localSheetId="1">'Bakery'!$A$1:$J$21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"/>
    <numFmt numFmtId="165" formatCode="ddd"/>
    <numFmt numFmtId="166" formatCode="aaa"/>
    <numFmt numFmtId="167" formatCode="[$-409]mmm\-yy;@"/>
    <numFmt numFmtId="168" formatCode="yyyy/m/d;@"/>
    <numFmt numFmtId="169" formatCode="m/d;@"/>
  </numFmts>
  <fonts count="41">
    <font>
      <name val="Calibri"/>
      <family val="2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sz val="14"/>
    </font>
    <font>
      <name val="Century Gothic"/>
      <family val="2"/>
      <sz val="12"/>
    </font>
    <font>
      <name val="Arial"/>
      <family val="2"/>
      <b val="1"/>
      <sz val="9"/>
    </font>
    <font>
      <name val="ＭＳ Ｐゴシック"/>
      <charset val="128"/>
      <family val="3"/>
      <color theme="1"/>
      <sz val="11"/>
    </font>
    <font>
      <name val="Arial"/>
      <family val="2"/>
      <sz val="11"/>
    </font>
    <font>
      <name val="Arial"/>
      <family val="2"/>
      <sz val="10"/>
    </font>
    <font>
      <name val="Arial"/>
      <family val="2"/>
      <sz val="9"/>
    </font>
    <font>
      <name val="ＭＳ Ｐゴシック"/>
      <charset val="128"/>
      <family val="3"/>
      <sz val="11"/>
    </font>
    <font>
      <name val="Arial"/>
      <family val="2"/>
      <color theme="1"/>
      <sz val="9"/>
    </font>
    <font>
      <name val="Arial"/>
      <family val="2"/>
      <sz val="12"/>
    </font>
    <font>
      <name val="Arial"/>
      <family val="2"/>
      <b val="1"/>
      <color rgb="FFFF0000"/>
      <sz val="11"/>
    </font>
    <font>
      <name val="Arial"/>
      <family val="2"/>
      <sz val="14"/>
    </font>
    <font>
      <name val="Arial"/>
      <family val="2"/>
      <sz val="18"/>
    </font>
    <font>
      <name val="Arial"/>
      <family val="2"/>
      <color theme="1"/>
      <sz val="8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9"/>
    </font>
    <font>
      <name val="Arial"/>
      <family val="2"/>
      <sz val="16"/>
    </font>
    <font>
      <name val="Arial"/>
      <family val="2"/>
      <color theme="1"/>
      <sz val="20"/>
    </font>
    <font>
      <name val="Arial"/>
      <family val="2"/>
      <color theme="1"/>
      <sz val="14"/>
    </font>
    <font>
      <name val="ＭＳ Ｐゴシック"/>
      <charset val="128"/>
      <family val="3"/>
      <color theme="1"/>
      <sz val="14"/>
    </font>
    <font>
      <name val="Arial"/>
      <charset val="128"/>
      <family val="2"/>
      <sz val="11"/>
    </font>
    <font>
      <name val="Arial"/>
      <family val="2"/>
      <color theme="1"/>
      <sz val="24"/>
    </font>
    <font>
      <name val="Arial"/>
      <family val="2"/>
      <b val="1"/>
      <sz val="24"/>
    </font>
    <font>
      <name val="ＭＳ Ｐゴシック"/>
      <charset val="128"/>
      <family val="2"/>
      <color theme="1"/>
      <sz val="9"/>
    </font>
    <font>
      <name val="ＭＳ Ｐゴシック"/>
      <charset val="128"/>
      <family val="2"/>
      <color theme="1"/>
      <sz val="11"/>
    </font>
    <font>
      <name val="Arial"/>
      <family val="2"/>
      <b val="1"/>
      <color theme="1"/>
      <sz val="12"/>
    </font>
    <font>
      <name val="ＭＳ Ｐゴシック"/>
      <charset val="128"/>
      <family val="2"/>
      <sz val="11"/>
    </font>
    <font>
      <name val="ＭＳ Ｐゴシック"/>
      <charset val="128"/>
      <family val="2"/>
      <color theme="1"/>
      <sz val="12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color theme="1"/>
      <sz val="18"/>
    </font>
    <font>
      <name val="游ゴシック"/>
      <charset val="128"/>
      <family val="3"/>
      <b val="1"/>
      <color theme="1"/>
      <sz val="26"/>
    </font>
    <font>
      <name val="游ゴシック"/>
      <charset val="128"/>
      <family val="3"/>
      <b val="1"/>
      <color theme="1"/>
      <sz val="11"/>
    </font>
    <font>
      <name val="游ゴシック"/>
      <charset val="128"/>
      <family val="3"/>
      <b val="1"/>
      <color theme="1"/>
      <sz val="16"/>
    </font>
    <font>
      <name val="游ゴシック"/>
      <charset val="128"/>
      <family val="3"/>
      <color theme="1"/>
      <sz val="14"/>
    </font>
    <font>
      <name val="游ゴシック"/>
      <charset val="128"/>
      <family val="3"/>
      <b val="1"/>
      <color theme="1"/>
      <sz val="12"/>
    </font>
    <font>
      <name val="游ゴシック"/>
      <charset val="128"/>
      <family val="3"/>
      <b val="1"/>
      <color theme="1"/>
      <sz val="14"/>
    </font>
    <font>
      <name val="Arial"/>
      <family val="2"/>
      <b val="1"/>
      <color theme="1"/>
      <sz val="11"/>
    </font>
    <font>
      <name val="Arial"/>
      <charset val="128"/>
      <family val="3"/>
      <b val="1"/>
      <color theme="1"/>
      <sz val="14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0" tint="-0.1499984740745262"/>
      </top>
      <bottom/>
      <diagonal/>
    </border>
    <border>
      <left style="thin">
        <color theme="0" tint="-0.1499984740745262"/>
      </left>
      <right/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" fillId="0" borderId="0" applyAlignment="1">
      <alignment vertical="center"/>
    </xf>
  </cellStyleXfs>
  <cellXfs count="22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9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1">
      <alignment shrinkToFit="1"/>
    </xf>
    <xf numFmtId="0" fontId="9" fillId="0" borderId="27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5" fillId="0" borderId="6" applyAlignment="1" pivotButton="0" quotePrefix="0" xfId="1">
      <alignment horizontal="center"/>
    </xf>
    <xf numFmtId="0" fontId="5" fillId="0" borderId="9" applyAlignment="1" pivotButton="0" quotePrefix="0" xfId="1">
      <alignment horizontal="center"/>
    </xf>
    <xf numFmtId="0" fontId="5" fillId="4" borderId="29" applyAlignment="1" pivotButton="0" quotePrefix="0" xfId="0">
      <alignment horizontal="center" vertical="center" wrapText="1"/>
    </xf>
    <xf numFmtId="0" fontId="9" fillId="4" borderId="30" applyAlignment="1" pivotButton="0" quotePrefix="0" xfId="0">
      <alignment horizontal="right"/>
    </xf>
    <xf numFmtId="0" fontId="9" fillId="4" borderId="31" applyAlignment="1" pivotButton="0" quotePrefix="0" xfId="0">
      <alignment horizontal="right"/>
    </xf>
    <xf numFmtId="0" fontId="12" fillId="0" borderId="15" applyAlignment="1" applyProtection="1" pivotButton="0" quotePrefix="0" xfId="0">
      <alignment horizontal="center"/>
      <protection locked="0" hidden="0"/>
    </xf>
    <xf numFmtId="0" fontId="12" fillId="0" borderId="16" applyAlignment="1" applyProtection="1" pivotButton="0" quotePrefix="0" xfId="0">
      <alignment horizontal="center"/>
      <protection locked="0" hidden="0"/>
    </xf>
    <xf numFmtId="0" fontId="12" fillId="0" borderId="19" applyAlignment="1" applyProtection="1" pivotButton="0" quotePrefix="0" xfId="0">
      <alignment horizontal="center"/>
      <protection locked="0" hidden="0"/>
    </xf>
    <xf numFmtId="164" fontId="8" fillId="0" borderId="4" applyAlignment="1" pivotButton="0" quotePrefix="0" xfId="0">
      <alignment horizontal="center"/>
    </xf>
    <xf numFmtId="165" fontId="8" fillId="0" borderId="7" applyAlignment="1" pivotButton="0" quotePrefix="0" xfId="0">
      <alignment horizontal="center"/>
    </xf>
    <xf numFmtId="164" fontId="8" fillId="0" borderId="5" applyAlignment="1" pivotButton="0" quotePrefix="0" xfId="0">
      <alignment horizontal="center"/>
    </xf>
    <xf numFmtId="165" fontId="8" fillId="0" borderId="8" applyAlignment="1" pivotButton="0" quotePrefix="0" xfId="0">
      <alignment horizontal="center"/>
    </xf>
    <xf numFmtId="0" fontId="18" fillId="0" borderId="33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/>
    </xf>
    <xf numFmtId="0" fontId="9" fillId="0" borderId="21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0" fontId="6" fillId="0" borderId="15" applyAlignment="1" pivotButton="0" quotePrefix="0" xfId="0">
      <alignment vertical="top" wrapText="1"/>
    </xf>
    <xf numFmtId="0" fontId="2" fillId="0" borderId="26" applyAlignment="1" pivotButton="0" quotePrefix="0" xfId="0">
      <alignment vertical="top" wrapText="1"/>
    </xf>
    <xf numFmtId="0" fontId="2" fillId="0" borderId="23" applyAlignment="1" pivotButton="0" quotePrefix="0" xfId="0">
      <alignment vertical="top" wrapText="1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8" fillId="5" borderId="33" applyAlignment="1" pivotButton="0" quotePrefix="0" xfId="0">
      <alignment horizontal="center" vertical="center"/>
    </xf>
    <xf numFmtId="0" fontId="9" fillId="4" borderId="32" applyAlignment="1" pivotButton="0" quotePrefix="0" xfId="0">
      <alignment horizontal="right"/>
    </xf>
    <xf numFmtId="0" fontId="9" fillId="0" borderId="9" applyAlignment="1" pivotButton="0" quotePrefix="0" xfId="0">
      <alignment horizontal="center"/>
    </xf>
    <xf numFmtId="0" fontId="9" fillId="0" borderId="24" applyAlignment="1" pivotButton="0" quotePrefix="0" xfId="0">
      <alignment horizontal="center"/>
    </xf>
    <xf numFmtId="166" fontId="8" fillId="0" borderId="34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0" fontId="2" fillId="0" borderId="36" applyAlignment="1" pivotButton="0" quotePrefix="0" xfId="0">
      <alignment vertical="center"/>
    </xf>
    <xf numFmtId="0" fontId="2" fillId="0" borderId="37" applyAlignment="1" pivotButton="0" quotePrefix="0" xfId="0">
      <alignment vertical="center"/>
    </xf>
    <xf numFmtId="0" fontId="2" fillId="0" borderId="38" applyAlignment="1" pivotButton="0" quotePrefix="0" xfId="0">
      <alignment vertical="center"/>
    </xf>
    <xf numFmtId="0" fontId="20" fillId="0" borderId="25" pivotButton="0" quotePrefix="0" xfId="0"/>
    <xf numFmtId="0" fontId="8" fillId="0" borderId="3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0" fontId="8" fillId="0" borderId="41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0" fontId="16" fillId="0" borderId="8" applyAlignment="1" pivotButton="0" quotePrefix="0" xfId="0">
      <alignment horizontal="center"/>
    </xf>
    <xf numFmtId="0" fontId="1" fillId="0" borderId="0" applyAlignment="1" pivotButton="0" quotePrefix="0" xfId="4">
      <alignment horizontal="center" vertical="center"/>
    </xf>
    <xf numFmtId="0" fontId="1" fillId="0" borderId="0" applyAlignment="1" pivotButton="0" quotePrefix="0" xfId="4">
      <alignment vertical="center"/>
    </xf>
    <xf numFmtId="0" fontId="1" fillId="0" borderId="0" applyAlignment="1" pivotButton="0" quotePrefix="0" xfId="4">
      <alignment vertical="center" wrapText="1"/>
    </xf>
    <xf numFmtId="0" fontId="23" fillId="0" borderId="0" applyAlignment="1" applyProtection="1" pivotButton="0" quotePrefix="0" xfId="0">
      <alignment horizontal="center"/>
      <protection locked="0" hidden="0"/>
    </xf>
    <xf numFmtId="0" fontId="27" fillId="0" borderId="0" applyAlignment="1" pivotButton="0" quotePrefix="0" xfId="0">
      <alignment vertical="center"/>
    </xf>
    <xf numFmtId="0" fontId="11" fillId="0" borderId="39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16" fillId="0" borderId="34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5" fillId="0" borderId="35" applyAlignment="1" pivotButton="0" quotePrefix="0" xfId="1">
      <alignment horizontal="center"/>
    </xf>
    <xf numFmtId="0" fontId="2" fillId="0" borderId="8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7" fillId="0" borderId="7" applyAlignment="1" applyProtection="1" pivotButton="0" quotePrefix="0" xfId="0">
      <alignment horizontal="center"/>
      <protection locked="0" hidden="0"/>
    </xf>
    <xf numFmtId="0" fontId="7" fillId="0" borderId="8" applyAlignment="1" applyProtection="1" pivotButton="0" quotePrefix="0" xfId="0">
      <alignment horizontal="center"/>
      <protection locked="0" hidden="0"/>
    </xf>
    <xf numFmtId="0" fontId="7" fillId="0" borderId="44" applyAlignment="1" pivotButton="0" quotePrefix="0" xfId="0">
      <alignment horizontal="center"/>
    </xf>
    <xf numFmtId="0" fontId="2" fillId="0" borderId="43" applyAlignment="1" pivotButton="0" quotePrefix="0" xfId="0">
      <alignment horizontal="center" vertical="center"/>
    </xf>
    <xf numFmtId="0" fontId="7" fillId="0" borderId="21" applyAlignment="1" applyProtection="1" pivotButton="0" quotePrefix="0" xfId="0">
      <alignment horizontal="center"/>
      <protection locked="0" hidden="0"/>
    </xf>
    <xf numFmtId="0" fontId="27" fillId="0" borderId="0" applyAlignment="1" pivotButton="0" quotePrefix="0" xfId="0">
      <alignment horizontal="center" vertical="center"/>
    </xf>
    <xf numFmtId="0" fontId="23" fillId="0" borderId="30" applyAlignment="1" applyProtection="1" pivotButton="0" quotePrefix="0" xfId="0">
      <alignment horizontal="center"/>
      <protection locked="0" hidden="0"/>
    </xf>
    <xf numFmtId="0" fontId="23" fillId="0" borderId="31" applyAlignment="1" applyProtection="1" pivotButton="0" quotePrefix="0" xfId="0">
      <alignment horizontal="center"/>
      <protection locked="0" hidden="0"/>
    </xf>
    <xf numFmtId="0" fontId="28" fillId="0" borderId="0" applyAlignment="1" pivotButton="0" quotePrefix="0" xfId="0">
      <alignment horizontal="center" vertical="center"/>
    </xf>
    <xf numFmtId="0" fontId="22" fillId="0" borderId="2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8" fillId="0" borderId="47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8" fillId="0" borderId="45" applyAlignment="1" pivotButton="0" quotePrefix="0" xfId="0">
      <alignment horizontal="center"/>
    </xf>
    <xf numFmtId="0" fontId="2" fillId="0" borderId="34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35" applyAlignment="1" pivotButton="0" quotePrefix="0" xfId="0">
      <alignment vertical="center"/>
    </xf>
    <xf numFmtId="0" fontId="18" fillId="0" borderId="40" applyAlignment="1" pivotButton="0" quotePrefix="0" xfId="0">
      <alignment horizontal="center" vertical="center"/>
    </xf>
    <xf numFmtId="0" fontId="17" fillId="0" borderId="46" applyAlignment="1" pivotButton="0" quotePrefix="0" xfId="0">
      <alignment horizontal="center"/>
    </xf>
    <xf numFmtId="0" fontId="18" fillId="5" borderId="32" applyAlignment="1" pivotButton="0" quotePrefix="0" xfId="0">
      <alignment horizontal="center" vertical="center"/>
    </xf>
    <xf numFmtId="0" fontId="7" fillId="0" borderId="34" applyAlignment="1" applyProtection="1" pivotButton="0" quotePrefix="0" xfId="0">
      <alignment horizontal="center"/>
      <protection locked="0" hidden="0"/>
    </xf>
    <xf numFmtId="0" fontId="7" fillId="0" borderId="1" applyAlignment="1" applyProtection="1" pivotButton="0" quotePrefix="0" xfId="0">
      <alignment horizontal="center"/>
      <protection locked="0" hidden="0"/>
    </xf>
    <xf numFmtId="0" fontId="11" fillId="0" borderId="43" applyAlignment="1" pivotButton="0" quotePrefix="0" xfId="0">
      <alignment horizontal="center" vertical="center"/>
    </xf>
    <xf numFmtId="0" fontId="12" fillId="0" borderId="43" applyAlignment="1" applyProtection="1" pivotButton="0" quotePrefix="0" xfId="0">
      <alignment horizontal="center"/>
      <protection locked="0" hidden="0"/>
    </xf>
    <xf numFmtId="0" fontId="2" fillId="0" borderId="48" applyAlignment="1" pivotButton="0" quotePrefix="0" xfId="0">
      <alignment horizontal="center" vertical="center"/>
    </xf>
    <xf numFmtId="0" fontId="12" fillId="0" borderId="49" applyAlignment="1" applyProtection="1" pivotButton="0" quotePrefix="0" xfId="0">
      <alignment horizontal="center"/>
      <protection locked="0" hidden="0"/>
    </xf>
    <xf numFmtId="0" fontId="7" fillId="0" borderId="51" applyAlignment="1" applyProtection="1" pivotButton="0" quotePrefix="0" xfId="0">
      <alignment horizontal="center"/>
      <protection locked="0" hidden="0"/>
    </xf>
    <xf numFmtId="0" fontId="10" fillId="0" borderId="7" applyAlignment="1" applyProtection="1" pivotButton="0" quotePrefix="0" xfId="0">
      <alignment horizontal="center"/>
      <protection locked="0" hidden="0"/>
    </xf>
    <xf numFmtId="0" fontId="7" fillId="0" borderId="50" applyAlignment="1" applyProtection="1" pivotButton="0" quotePrefix="0" xfId="0">
      <alignment horizontal="center"/>
      <protection locked="0" hidden="0"/>
    </xf>
    <xf numFmtId="0" fontId="7" fillId="0" borderId="52" applyAlignment="1" applyProtection="1" pivotButton="0" quotePrefix="0" xfId="0">
      <alignment horizontal="center"/>
      <protection locked="0" hidden="0"/>
    </xf>
    <xf numFmtId="0" fontId="7" fillId="0" borderId="2" applyAlignment="1" applyProtection="1" pivotButton="0" quotePrefix="0" xfId="0">
      <alignment horizontal="center"/>
      <protection locked="0" hidden="0"/>
    </xf>
    <xf numFmtId="0" fontId="7" fillId="0" borderId="31" applyAlignment="1" applyProtection="1" pivotButton="0" quotePrefix="0" xfId="0">
      <alignment horizontal="center"/>
      <protection locked="0" hidden="0"/>
    </xf>
    <xf numFmtId="164" fontId="8" fillId="0" borderId="53" applyAlignment="1" pivotButton="0" quotePrefix="0" xfId="0">
      <alignment horizontal="center"/>
    </xf>
    <xf numFmtId="165" fontId="8" fillId="0" borderId="10" applyAlignment="1" pivotButton="0" quotePrefix="0" xfId="0">
      <alignment horizontal="center"/>
    </xf>
    <xf numFmtId="166" fontId="8" fillId="0" borderId="13" applyAlignment="1" pivotButton="0" quotePrefix="0" xfId="0">
      <alignment horizontal="center"/>
    </xf>
    <xf numFmtId="0" fontId="7" fillId="0" borderId="54" applyAlignment="1" applyProtection="1" pivotButton="0" quotePrefix="0" xfId="0">
      <alignment horizontal="center"/>
      <protection locked="0" hidden="0"/>
    </xf>
    <xf numFmtId="0" fontId="7" fillId="0" borderId="17" applyAlignment="1" applyProtection="1" pivotButton="0" quotePrefix="0" xfId="0">
      <alignment horizontal="center"/>
      <protection locked="0" hidden="0"/>
    </xf>
    <xf numFmtId="0" fontId="7" fillId="0" borderId="10" applyAlignment="1" applyProtection="1" pivotButton="0" quotePrefix="0" xfId="0">
      <alignment horizontal="center"/>
      <protection locked="0" hidden="0"/>
    </xf>
    <xf numFmtId="0" fontId="7" fillId="0" borderId="13" applyAlignment="1" applyProtection="1" pivotButton="0" quotePrefix="0" xfId="0">
      <alignment horizontal="center"/>
      <protection locked="0" hidden="0"/>
    </xf>
    <xf numFmtId="0" fontId="7" fillId="0" borderId="55" applyAlignment="1" applyProtection="1" pivotButton="0" quotePrefix="0" xfId="0">
      <alignment horizontal="center"/>
      <protection locked="0" hidden="0"/>
    </xf>
    <xf numFmtId="164" fontId="8" fillId="0" borderId="6" applyAlignment="1" pivotButton="0" quotePrefix="0" xfId="0">
      <alignment horizontal="center"/>
    </xf>
    <xf numFmtId="165" fontId="8" fillId="0" borderId="9" applyAlignment="1" pivotButton="0" quotePrefix="0" xfId="0">
      <alignment horizontal="center"/>
    </xf>
    <xf numFmtId="166" fontId="8" fillId="0" borderId="35" applyAlignment="1" pivotButton="0" quotePrefix="0" xfId="0">
      <alignment horizontal="center"/>
    </xf>
    <xf numFmtId="0" fontId="23" fillId="0" borderId="32" applyAlignment="1" applyProtection="1" pivotButton="0" quotePrefix="0" xfId="0">
      <alignment horizontal="center"/>
      <protection locked="0" hidden="0"/>
    </xf>
    <xf numFmtId="0" fontId="7" fillId="0" borderId="56" applyAlignment="1" applyProtection="1" pivotButton="0" quotePrefix="0" xfId="0">
      <alignment horizontal="center"/>
      <protection locked="0" hidden="0"/>
    </xf>
    <xf numFmtId="0" fontId="7" fillId="0" borderId="9" applyAlignment="1" applyProtection="1" pivotButton="0" quotePrefix="0" xfId="0">
      <alignment horizontal="center"/>
      <protection locked="0" hidden="0"/>
    </xf>
    <xf numFmtId="0" fontId="7" fillId="0" borderId="35" applyAlignment="1" applyProtection="1" pivotButton="0" quotePrefix="0" xfId="0">
      <alignment horizontal="center"/>
      <protection locked="0" hidden="0"/>
    </xf>
    <xf numFmtId="0" fontId="7" fillId="0" borderId="57" applyAlignment="1" applyProtection="1" pivotButton="0" quotePrefix="0" xfId="0">
      <alignment horizontal="center"/>
      <protection locked="0" hidden="0"/>
    </xf>
    <xf numFmtId="0" fontId="7" fillId="0" borderId="24" applyAlignment="1" applyProtection="1" pivotButton="0" quotePrefix="0" xfId="0">
      <alignment horizontal="center"/>
      <protection locked="0" hidden="0"/>
    </xf>
    <xf numFmtId="0" fontId="23" fillId="0" borderId="54" applyAlignment="1" applyProtection="1" pivotButton="0" quotePrefix="0" xfId="0">
      <alignment horizontal="center"/>
      <protection locked="0" hidden="0"/>
    </xf>
    <xf numFmtId="0" fontId="10" fillId="0" borderId="24" applyAlignment="1" applyProtection="1" pivotButton="0" quotePrefix="0" xfId="0">
      <alignment horizontal="center"/>
      <protection locked="0" hidden="0"/>
    </xf>
    <xf numFmtId="0" fontId="10" fillId="0" borderId="10" applyAlignment="1" applyProtection="1" pivotButton="0" quotePrefix="0" xfId="0">
      <alignment horizontal="center"/>
      <protection locked="0" hidden="0"/>
    </xf>
    <xf numFmtId="166" fontId="8" fillId="0" borderId="24" applyAlignment="1" pivotButton="0" quotePrefix="0" xfId="0">
      <alignment horizontal="center"/>
    </xf>
    <xf numFmtId="164" fontId="8" fillId="0" borderId="58" applyAlignment="1" pivotButton="0" quotePrefix="0" xfId="0">
      <alignment horizontal="center"/>
    </xf>
    <xf numFmtId="165" fontId="8" fillId="0" borderId="42" applyAlignment="1" pivotButton="0" quotePrefix="0" xfId="0">
      <alignment horizontal="center"/>
    </xf>
    <xf numFmtId="166" fontId="8" fillId="0" borderId="11" applyAlignment="1" pivotButton="0" quotePrefix="0" xfId="0">
      <alignment horizontal="center"/>
    </xf>
    <xf numFmtId="0" fontId="23" fillId="0" borderId="59" applyAlignment="1" applyProtection="1" pivotButton="0" quotePrefix="0" xfId="0">
      <alignment horizontal="center"/>
      <protection locked="0" hidden="0"/>
    </xf>
    <xf numFmtId="0" fontId="7" fillId="0" borderId="18" applyAlignment="1" applyProtection="1" pivotButton="0" quotePrefix="0" xfId="0">
      <alignment horizontal="center"/>
      <protection locked="0" hidden="0"/>
    </xf>
    <xf numFmtId="0" fontId="7" fillId="0" borderId="42" applyAlignment="1" applyProtection="1" pivotButton="0" quotePrefix="0" xfId="0">
      <alignment horizontal="center"/>
      <protection locked="0" hidden="0"/>
    </xf>
    <xf numFmtId="0" fontId="7" fillId="0" borderId="11" applyAlignment="1" applyProtection="1" pivotButton="0" quotePrefix="0" xfId="0">
      <alignment horizontal="center"/>
      <protection locked="0" hidden="0"/>
    </xf>
    <xf numFmtId="0" fontId="7" fillId="0" borderId="60" applyAlignment="1" applyProtection="1" pivotButton="0" quotePrefix="0" xfId="0">
      <alignment horizontal="center"/>
      <protection locked="0" hidden="0"/>
    </xf>
    <xf numFmtId="0" fontId="7" fillId="0" borderId="61" applyAlignment="1" applyProtection="1" pivotButton="0" quotePrefix="0" xfId="0">
      <alignment horizontal="center"/>
      <protection locked="0" hidden="0"/>
    </xf>
    <xf numFmtId="0" fontId="7" fillId="0" borderId="12" applyAlignment="1" applyProtection="1" pivotButton="0" quotePrefix="0" xfId="0">
      <alignment horizontal="center"/>
      <protection locked="0" hidden="0"/>
    </xf>
    <xf numFmtId="0" fontId="10" fillId="0" borderId="61" applyAlignment="1" applyProtection="1" pivotButton="0" quotePrefix="0" xfId="0">
      <alignment horizontal="center"/>
      <protection locked="0" hidden="0"/>
    </xf>
    <xf numFmtId="0" fontId="10" fillId="0" borderId="12" applyAlignment="1" applyProtection="1" pivotButton="0" quotePrefix="0" xfId="0">
      <alignment horizontal="center"/>
      <protection locked="0" hidden="0"/>
    </xf>
    <xf numFmtId="0" fontId="7" fillId="0" borderId="62" applyAlignment="1" applyProtection="1" pivotButton="0" quotePrefix="0" xfId="0">
      <alignment horizontal="center"/>
      <protection locked="0" hidden="0"/>
    </xf>
    <xf numFmtId="0" fontId="10" fillId="0" borderId="62" applyAlignment="1" applyProtection="1" pivotButton="0" quotePrefix="0" xfId="0">
      <alignment horizontal="center"/>
      <protection locked="0" hidden="0"/>
    </xf>
    <xf numFmtId="0" fontId="10" fillId="0" borderId="21" applyAlignment="1" applyProtection="1" pivotButton="0" quotePrefix="0" xfId="0">
      <alignment horizontal="center"/>
      <protection locked="0" hidden="0"/>
    </xf>
    <xf numFmtId="0" fontId="7" fillId="0" borderId="9" applyAlignment="1" pivotButton="0" quotePrefix="0" xfId="0">
      <alignment horizontal="center"/>
    </xf>
    <xf numFmtId="0" fontId="7" fillId="0" borderId="19" applyAlignment="1" applyProtection="1" pivotButton="0" quotePrefix="0" xfId="0">
      <alignment horizontal="center"/>
      <protection locked="0" hidden="0"/>
    </xf>
    <xf numFmtId="0" fontId="27" fillId="2" borderId="0" applyAlignment="1" pivotButton="0" quotePrefix="0" xfId="0">
      <alignment vertical="center"/>
    </xf>
    <xf numFmtId="0" fontId="27" fillId="2" borderId="0" applyAlignment="1" pivotButton="0" quotePrefix="0" xfId="0">
      <alignment horizontal="center" vertical="center"/>
    </xf>
    <xf numFmtId="0" fontId="27" fillId="2" borderId="63" applyAlignment="1" pivotButton="0" quotePrefix="0" xfId="0">
      <alignment horizontal="center" vertical="center"/>
    </xf>
    <xf numFmtId="0" fontId="27" fillId="2" borderId="12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7" fillId="2" borderId="61" applyAlignment="1" pivotButton="0" quotePrefix="0" xfId="0">
      <alignment horizontal="center" vertical="center"/>
    </xf>
    <xf numFmtId="0" fontId="30" fillId="2" borderId="12" applyAlignment="1" pivotButton="0" quotePrefix="0" xfId="0">
      <alignment vertical="center"/>
    </xf>
    <xf numFmtId="0" fontId="29" fillId="0" borderId="61" applyAlignment="1" pivotButton="0" quotePrefix="0" xfId="0">
      <alignment horizontal="center" vertical="center"/>
    </xf>
    <xf numFmtId="0" fontId="10" fillId="2" borderId="12" applyAlignment="1" pivotButton="0" quotePrefix="0" xfId="0">
      <alignment horizontal="center" vertical="center"/>
    </xf>
    <xf numFmtId="0" fontId="27" fillId="2" borderId="12" applyAlignment="1" pivotButton="0" quotePrefix="0" xfId="0">
      <alignment vertical="center"/>
    </xf>
    <xf numFmtId="0" fontId="6" fillId="2" borderId="12" applyAlignment="1" pivotButton="0" quotePrefix="0" xfId="0">
      <alignment horizontal="center" vertical="center"/>
    </xf>
    <xf numFmtId="0" fontId="6" fillId="2" borderId="12" applyAlignment="1" pivotButton="0" quotePrefix="0" xfId="0">
      <alignment vertical="center"/>
    </xf>
    <xf numFmtId="0" fontId="6" fillId="2" borderId="61" applyAlignment="1" pivotButton="0" quotePrefix="0" xfId="0">
      <alignment horizontal="center" vertical="center"/>
    </xf>
    <xf numFmtId="0" fontId="31" fillId="0" borderId="0" applyAlignment="1" pivotButton="0" quotePrefix="0" xfId="4">
      <alignment horizontal="center" vertical="center"/>
    </xf>
    <xf numFmtId="0" fontId="31" fillId="0" borderId="0" applyAlignment="1" pivotButton="0" quotePrefix="0" xfId="4">
      <alignment vertical="center"/>
    </xf>
    <xf numFmtId="0" fontId="32" fillId="0" borderId="0" applyAlignment="1" pivotButton="0" quotePrefix="0" xfId="4">
      <alignment vertical="center"/>
    </xf>
    <xf numFmtId="0" fontId="32" fillId="0" borderId="0" applyAlignment="1" pivotButton="0" quotePrefix="0" xfId="4">
      <alignment horizontal="center" vertical="center"/>
    </xf>
    <xf numFmtId="0" fontId="31" fillId="0" borderId="7" applyAlignment="1" pivotButton="0" quotePrefix="0" xfId="4">
      <alignment vertical="center"/>
    </xf>
    <xf numFmtId="0" fontId="36" fillId="0" borderId="7" applyAlignment="1" pivotButton="0" quotePrefix="0" xfId="4">
      <alignment horizontal="right"/>
    </xf>
    <xf numFmtId="0" fontId="36" fillId="0" borderId="7" applyAlignment="1" pivotButton="0" quotePrefix="0" xfId="4">
      <alignment horizontal="center"/>
    </xf>
    <xf numFmtId="0" fontId="36" fillId="0" borderId="33" applyAlignment="1" pivotButton="0" quotePrefix="0" xfId="4">
      <alignment vertical="center"/>
    </xf>
    <xf numFmtId="0" fontId="36" fillId="0" borderId="33" applyAlignment="1" pivotButton="0" quotePrefix="0" xfId="4">
      <alignment horizontal="right"/>
    </xf>
    <xf numFmtId="0" fontId="36" fillId="0" borderId="33" applyAlignment="1" pivotButton="0" quotePrefix="0" xfId="4">
      <alignment horizontal="center"/>
    </xf>
    <xf numFmtId="0" fontId="36" fillId="0" borderId="7" applyAlignment="1" pivotButton="0" quotePrefix="0" xfId="4">
      <alignment vertical="center"/>
    </xf>
    <xf numFmtId="0" fontId="36" fillId="0" borderId="2" applyAlignment="1" pivotButton="0" quotePrefix="0" xfId="4">
      <alignment vertical="center"/>
    </xf>
    <xf numFmtId="0" fontId="36" fillId="0" borderId="2" applyAlignment="1" pivotButton="0" quotePrefix="0" xfId="4">
      <alignment horizontal="right"/>
    </xf>
    <xf numFmtId="0" fontId="36" fillId="0" borderId="2" applyAlignment="1" pivotButton="0" quotePrefix="0" xfId="4">
      <alignment horizontal="center"/>
    </xf>
    <xf numFmtId="0" fontId="31" fillId="0" borderId="42" applyAlignment="1" pivotButton="0" quotePrefix="0" xfId="4">
      <alignment vertical="center"/>
    </xf>
    <xf numFmtId="0" fontId="31" fillId="0" borderId="10" applyAlignment="1" pivotButton="0" quotePrefix="0" xfId="4">
      <alignment vertical="center"/>
    </xf>
    <xf numFmtId="0" fontId="35" fillId="0" borderId="7" applyAlignment="1" pivotButton="0" quotePrefix="0" xfId="4">
      <alignment horizontal="center"/>
    </xf>
    <xf numFmtId="0" fontId="35" fillId="0" borderId="33" applyAlignment="1" pivotButton="0" quotePrefix="0" xfId="4">
      <alignment horizontal="center"/>
    </xf>
    <xf numFmtId="0" fontId="35" fillId="0" borderId="2" applyAlignment="1" pivotButton="0" quotePrefix="0" xfId="4">
      <alignment horizontal="center"/>
    </xf>
    <xf numFmtId="0" fontId="31" fillId="0" borderId="7" applyAlignment="1" pivotButton="0" quotePrefix="0" xfId="4">
      <alignment horizontal="center"/>
    </xf>
    <xf numFmtId="0" fontId="31" fillId="0" borderId="7" pivotButton="0" quotePrefix="0" xfId="4"/>
    <xf numFmtId="0" fontId="31" fillId="0" borderId="33" applyAlignment="1" pivotButton="0" quotePrefix="0" xfId="4">
      <alignment horizontal="center"/>
    </xf>
    <xf numFmtId="0" fontId="31" fillId="0" borderId="33" applyAlignment="1" pivotButton="0" quotePrefix="0" xfId="4">
      <alignment vertical="center"/>
    </xf>
    <xf numFmtId="0" fontId="38" fillId="0" borderId="64" applyAlignment="1" pivotButton="0" quotePrefix="0" xfId="4">
      <alignment horizontal="center" wrapText="1"/>
    </xf>
    <xf numFmtId="0" fontId="34" fillId="0" borderId="64" applyAlignment="1" pivotButton="0" quotePrefix="0" xfId="4">
      <alignment horizontal="center" vertical="center" wrapText="1"/>
    </xf>
    <xf numFmtId="0" fontId="34" fillId="0" borderId="64" applyAlignment="1" pivotButton="0" quotePrefix="0" xfId="4">
      <alignment horizontal="center" wrapText="1"/>
    </xf>
    <xf numFmtId="0" fontId="35" fillId="0" borderId="64" applyAlignment="1" pivotButton="0" quotePrefix="0" xfId="4">
      <alignment horizontal="center"/>
    </xf>
    <xf numFmtId="0" fontId="36" fillId="0" borderId="64" applyAlignment="1" pivotButton="0" quotePrefix="0" xfId="4">
      <alignment horizontal="center"/>
    </xf>
    <xf numFmtId="0" fontId="36" fillId="0" borderId="64" applyAlignment="1" pivotButton="0" quotePrefix="0" xfId="4">
      <alignment vertical="center"/>
    </xf>
    <xf numFmtId="0" fontId="36" fillId="0" borderId="64" applyAlignment="1" pivotButton="0" quotePrefix="0" xfId="4">
      <alignment horizontal="right"/>
    </xf>
    <xf numFmtId="0" fontId="7" fillId="2" borderId="66" applyAlignment="1" applyProtection="1" pivotButton="0" quotePrefix="0" xfId="0">
      <alignment horizontal="center"/>
      <protection locked="0" hidden="0"/>
    </xf>
    <xf numFmtId="0" fontId="7" fillId="2" borderId="59" applyAlignment="1" applyProtection="1" pivotButton="0" quotePrefix="0" xfId="0">
      <alignment horizontal="center"/>
      <protection locked="0" hidden="0"/>
    </xf>
    <xf numFmtId="0" fontId="39" fillId="0" borderId="25" applyAlignment="1" pivotButton="0" quotePrefix="0" xfId="0">
      <alignment horizontal="center"/>
    </xf>
    <xf numFmtId="0" fontId="0" fillId="0" borderId="25" pivotButton="0" quotePrefix="0" xfId="0"/>
    <xf numFmtId="0" fontId="15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5" fillId="7" borderId="40" applyAlignment="1" pivotButton="0" quotePrefix="0" xfId="0">
      <alignment horizontal="left" vertical="center"/>
    </xf>
    <xf numFmtId="0" fontId="0" fillId="0" borderId="40" pivotButton="0" quotePrefix="0" xfId="0"/>
    <xf numFmtId="14" fontId="40" fillId="7" borderId="7" applyAlignment="1" pivotButton="0" quotePrefix="0" xfId="0">
      <alignment horizontal="center"/>
    </xf>
    <xf numFmtId="0" fontId="0" fillId="0" borderId="67" pivotButton="0" quotePrefix="0" xfId="0"/>
    <xf numFmtId="0" fontId="0" fillId="0" borderId="10" pivotButton="0" quotePrefix="0" xfId="0"/>
    <xf numFmtId="0" fontId="11" fillId="0" borderId="7" applyAlignment="1" pivotButton="0" quotePrefix="0" xfId="0">
      <alignment horizontal="center"/>
    </xf>
    <xf numFmtId="0" fontId="0" fillId="0" borderId="2" pivotButton="0" quotePrefix="0" xfId="0"/>
    <xf numFmtId="0" fontId="11" fillId="0" borderId="10" applyAlignment="1" pivotButton="0" quotePrefix="0" xfId="0">
      <alignment horizontal="center"/>
    </xf>
    <xf numFmtId="0" fontId="0" fillId="0" borderId="17" pivotButton="0" quotePrefix="0" xfId="0"/>
    <xf numFmtId="167" fontId="3" fillId="0" borderId="7" applyAlignment="1" pivotButton="0" quotePrefix="0" xfId="0">
      <alignment horizontal="center"/>
    </xf>
    <xf numFmtId="0" fontId="0" fillId="0" borderId="22" pivotButton="0" quotePrefix="0" xfId="0"/>
    <xf numFmtId="0" fontId="0" fillId="0" borderId="13" pivotButton="0" quotePrefix="0" xfId="0"/>
    <xf numFmtId="0" fontId="0" fillId="0" borderId="18" pivotButton="0" quotePrefix="0" xfId="0"/>
    <xf numFmtId="0" fontId="26" fillId="0" borderId="7" applyAlignment="1" pivotButton="0" quotePrefix="0" xfId="0">
      <alignment horizontal="center"/>
    </xf>
    <xf numFmtId="0" fontId="7" fillId="0" borderId="46" applyAlignment="1" pivotButton="0" quotePrefix="0" xfId="0">
      <alignment horizontal="center"/>
    </xf>
    <xf numFmtId="0" fontId="0" fillId="0" borderId="39" pivotButton="0" quotePrefix="0" xfId="0"/>
    <xf numFmtId="0" fontId="0" fillId="0" borderId="28" pivotButton="0" quotePrefix="0" xfId="0"/>
    <xf numFmtId="168" fontId="12" fillId="7" borderId="2" applyAlignment="1" pivotButton="0" quotePrefix="0" xfId="0">
      <alignment horizontal="center" vertical="center"/>
    </xf>
    <xf numFmtId="0" fontId="19" fillId="0" borderId="1" applyAlignment="1" pivotButton="0" quotePrefix="0" xfId="1">
      <alignment horizontal="center" vertical="center" shrinkToFit="1"/>
    </xf>
    <xf numFmtId="0" fontId="24" fillId="7" borderId="0" applyAlignment="1" pivotButton="0" quotePrefix="0" xfId="0">
      <alignment horizontal="right" vertical="center"/>
    </xf>
    <xf numFmtId="0" fontId="36" fillId="0" borderId="7" applyAlignment="1" pivotButton="0" quotePrefix="0" xfId="4">
      <alignment horizontal="center"/>
    </xf>
    <xf numFmtId="0" fontId="32" fillId="0" borderId="0" applyAlignment="1" pivotButton="0" quotePrefix="0" xfId="4">
      <alignment horizontal="center" vertical="center"/>
    </xf>
    <xf numFmtId="0" fontId="1" fillId="0" borderId="0" applyAlignment="1" pivotButton="0" quotePrefix="0" xfId="4">
      <alignment vertical="center"/>
    </xf>
    <xf numFmtId="0" fontId="36" fillId="0" borderId="2" applyAlignment="1" pivotButton="0" quotePrefix="0" xfId="4">
      <alignment horizontal="center"/>
    </xf>
    <xf numFmtId="0" fontId="36" fillId="0" borderId="33" applyAlignment="1" pivotButton="0" quotePrefix="0" xfId="4">
      <alignment horizontal="center"/>
    </xf>
    <xf numFmtId="169" fontId="33" fillId="6" borderId="25" applyAlignment="1" pivotButton="0" quotePrefix="0" xfId="4">
      <alignment horizontal="center" vertical="center"/>
    </xf>
    <xf numFmtId="0" fontId="32" fillId="0" borderId="25" applyAlignment="1" pivotButton="0" quotePrefix="0" xfId="4">
      <alignment horizontal="center" vertical="center"/>
    </xf>
    <xf numFmtId="0" fontId="37" fillId="0" borderId="64" applyAlignment="1" pivotButton="0" quotePrefix="0" xfId="4">
      <alignment horizontal="center" wrapText="1"/>
    </xf>
    <xf numFmtId="0" fontId="0" fillId="0" borderId="65" pivotButton="0" quotePrefix="0" xfId="0"/>
    <xf numFmtId="0" fontId="36" fillId="0" borderId="64" applyAlignment="1" pivotButton="0" quotePrefix="0" xfId="4">
      <alignment horizontal="center"/>
    </xf>
  </cellXfs>
  <cellStyles count="5">
    <cellStyle name="Normal" xfId="0" builtinId="0"/>
    <cellStyle name="標準_ScheduleFTE 2003" xfId="1"/>
    <cellStyle name="標準 2" xfId="2"/>
    <cellStyle name="標準 3" xfId="3"/>
    <cellStyle name="標準 4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E42"/>
  <sheetViews>
    <sheetView tabSelected="1" zoomScale="109" zoomScaleNormal="80" zoomScaleSheetLayoutView="80" workbookViewId="0">
      <selection activeCell="AQ12" sqref="AQ12"/>
    </sheetView>
  </sheetViews>
  <sheetFormatPr baseColWidth="8" defaultColWidth="9" defaultRowHeight="14.25"/>
  <cols>
    <col width="3" customWidth="1" style="6" min="1" max="1"/>
    <col width="18.140625" customWidth="1" style="2" min="2" max="2"/>
    <col width="9.85546875" customWidth="1" style="2" min="3" max="3"/>
    <col width="5.28515625" customWidth="1" style="194" min="4" max="34"/>
    <col width="3.28515625" customWidth="1" style="194" min="35" max="38"/>
    <col width="4" customWidth="1" style="194" min="39" max="39"/>
    <col width="4.140625" customWidth="1" style="194" min="40" max="41"/>
    <col width="5.7109375" customWidth="1" style="194" min="42" max="42"/>
    <col width="4.140625" customWidth="1" style="194" min="43" max="47"/>
    <col width="3.7109375" customWidth="1" style="194" min="48" max="48"/>
    <col width="4.7109375" customWidth="1" style="194" min="49" max="51"/>
    <col width="9" customWidth="1" style="194" min="52" max="52"/>
    <col width="4.7109375" customWidth="1" style="194" min="53" max="53"/>
    <col width="9" customWidth="1" style="194" min="54" max="55"/>
    <col width="9" customWidth="1" style="6" min="56" max="57"/>
    <col width="4.7109375" customWidth="1" style="194" min="58" max="58"/>
    <col width="9" customWidth="1" style="194" min="59" max="82"/>
    <col width="9" customWidth="1" style="194" min="83" max="16384"/>
  </cols>
  <sheetData>
    <row r="1">
      <c r="B1" s="6" t="n"/>
      <c r="C1" s="6" t="n"/>
      <c r="D1" s="6" t="n"/>
      <c r="E1" s="6" t="n"/>
      <c r="F1" s="6" t="n"/>
      <c r="G1" s="6" t="n"/>
      <c r="H1" s="6" t="n"/>
      <c r="I1" s="80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80" t="n"/>
      <c r="Y1" s="80" t="n"/>
      <c r="Z1" s="147" t="n"/>
      <c r="AA1" s="147" t="n"/>
      <c r="AB1" s="147" t="n"/>
      <c r="AC1" s="6" t="n"/>
      <c r="AF1" s="6" t="n"/>
      <c r="AG1" s="6" t="n"/>
      <c r="AH1" s="6" t="n"/>
      <c r="AI1" s="9" t="n"/>
      <c r="AJ1" s="9" t="n"/>
      <c r="AK1" s="9" t="n"/>
      <c r="AL1" s="9" t="n"/>
    </row>
    <row r="2" ht="13.35" customHeight="1">
      <c r="B2" s="6" t="n"/>
      <c r="C2" s="6" t="n"/>
      <c r="D2" s="6" t="n"/>
      <c r="E2" s="6" t="n"/>
      <c r="F2" s="6" t="n"/>
      <c r="G2" s="6" t="n"/>
      <c r="H2" s="80" t="n"/>
      <c r="I2" s="147" t="n"/>
      <c r="J2" s="80" t="n"/>
      <c r="K2" s="6" t="n"/>
      <c r="L2" s="6" t="n"/>
      <c r="M2" s="6" t="n"/>
      <c r="N2" s="147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80" t="n"/>
      <c r="Y2" s="80" t="n"/>
      <c r="Z2" s="147" t="n"/>
      <c r="AA2" s="147" t="n"/>
      <c r="AB2" s="147" t="n"/>
      <c r="AC2" s="64" t="n"/>
      <c r="AD2" s="50" t="n"/>
      <c r="AE2" s="50" t="n"/>
      <c r="AF2" s="64" t="n"/>
      <c r="AG2" s="50" t="n"/>
      <c r="AH2" s="50" t="n"/>
      <c r="AI2" s="9" t="n"/>
      <c r="AJ2" s="9" t="n"/>
      <c r="AK2" s="9" t="n"/>
      <c r="AL2" s="9" t="n"/>
    </row>
    <row r="3" ht="23.25" customHeight="1">
      <c r="B3" s="194" t="n"/>
      <c r="C3" s="194" t="n"/>
      <c r="D3" s="11" t="n"/>
      <c r="E3" s="11" t="n"/>
      <c r="F3" s="64" t="n"/>
      <c r="G3" s="11" t="n"/>
      <c r="H3" s="193" t="inlineStr">
        <is>
          <t xml:space="preserve">Monthly  Working  Schedule  /  Bakery　　</t>
        </is>
      </c>
      <c r="S3" s="83" t="inlineStr">
        <is>
          <t>(仮)</t>
        </is>
      </c>
      <c r="X3" s="214" t="inlineStr">
        <is>
          <t>Rev:</t>
        </is>
      </c>
      <c r="AA3" s="195" t="n">
        <v>0</v>
      </c>
      <c r="AB3" s="196" t="n"/>
      <c r="AC3" s="204" t="n">
        <v>45505</v>
      </c>
      <c r="AD3" s="205" t="n"/>
      <c r="AE3" s="206" t="n"/>
      <c r="AF3" s="213" t="inlineStr">
        <is>
          <t>Printed by</t>
        </is>
      </c>
      <c r="AG3" s="205" t="n"/>
      <c r="AH3" s="206" t="n"/>
      <c r="AI3" s="13" t="n"/>
      <c r="AJ3" s="13" t="n"/>
      <c r="AK3" s="13" t="n"/>
      <c r="AL3" s="13" t="n"/>
      <c r="AP3" s="63" t="n"/>
    </row>
    <row r="4" ht="18" customHeight="1">
      <c r="B4" s="194" t="n"/>
      <c r="C4" s="194" t="n"/>
      <c r="E4" s="146" t="n"/>
      <c r="F4" s="80" t="n"/>
      <c r="G4" s="146" t="n"/>
      <c r="H4" s="80" t="n"/>
      <c r="I4" s="147" t="n"/>
      <c r="J4" s="147" t="n"/>
      <c r="K4" s="64" t="n"/>
      <c r="L4" s="146" t="n"/>
      <c r="M4" s="146" t="n"/>
      <c r="N4" s="148" t="n"/>
      <c r="O4" s="80" t="n"/>
      <c r="P4" s="147" t="n"/>
      <c r="Q4" s="147" t="n"/>
      <c r="R4" s="64" t="n"/>
      <c r="S4" s="147" t="n"/>
      <c r="T4" s="146" t="n"/>
      <c r="U4" s="146" t="n"/>
      <c r="V4" s="64" t="n"/>
      <c r="AB4" s="196" t="n"/>
      <c r="AC4" s="207" t="n"/>
      <c r="AD4" s="192" t="n"/>
      <c r="AE4" s="203" t="n"/>
      <c r="AF4" s="212" t="n">
        <v>45521</v>
      </c>
      <c r="AG4" s="192" t="n"/>
      <c r="AH4" s="203" t="n"/>
      <c r="AI4" s="13" t="n"/>
      <c r="AJ4" s="13" t="n"/>
      <c r="AK4" s="13" t="n"/>
      <c r="AL4" s="13" t="n"/>
    </row>
    <row r="5" ht="15.95" customHeight="1" thickBot="1">
      <c r="B5" s="194" t="n"/>
      <c r="C5" s="194" t="n"/>
      <c r="D5" s="64" t="n"/>
      <c r="E5" s="149" t="n"/>
      <c r="F5" s="149" t="n"/>
      <c r="G5" s="150" t="n"/>
      <c r="H5" s="149" t="n"/>
      <c r="I5" s="151" t="n"/>
      <c r="J5" s="149" t="n"/>
      <c r="K5" s="152" t="n"/>
      <c r="L5" s="152" t="n"/>
      <c r="M5" s="152" t="n"/>
      <c r="N5" s="152" t="n"/>
      <c r="O5" s="152" t="n"/>
      <c r="P5" s="153" t="n"/>
      <c r="Q5" s="154" t="n"/>
      <c r="R5" s="149" t="n"/>
      <c r="S5" s="149" t="n"/>
      <c r="T5" s="155" t="n"/>
      <c r="U5" s="146" t="n"/>
      <c r="V5" s="156" t="n"/>
      <c r="W5" s="151" t="n"/>
      <c r="X5" s="64" t="n"/>
      <c r="Y5" s="157" t="n"/>
      <c r="Z5" s="149" t="n"/>
      <c r="AA5" s="155" t="n"/>
      <c r="AB5" s="155" t="n"/>
      <c r="AC5" s="156" t="n"/>
      <c r="AD5" s="158" t="n"/>
      <c r="AE5" s="155" t="n"/>
      <c r="AF5" s="155" t="n"/>
      <c r="AG5" s="149" t="n"/>
      <c r="AH5" s="64" t="n"/>
      <c r="AI5" s="9" t="n"/>
      <c r="AJ5" s="9" t="n"/>
      <c r="AK5" s="9" t="n"/>
      <c r="AL5" s="9" t="n"/>
    </row>
    <row r="6" customFormat="1" s="3">
      <c r="B6" s="209" t="n"/>
      <c r="C6" s="209" t="inlineStr">
        <is>
          <t>EMP#</t>
        </is>
      </c>
      <c r="D6" s="30">
        <f>AC3</f>
        <v/>
      </c>
      <c r="E6" s="28">
        <f>D6+1</f>
        <v/>
      </c>
      <c r="F6" s="129">
        <f>E6+1</f>
        <v/>
      </c>
      <c r="G6" s="30">
        <f>F6+1</f>
        <v/>
      </c>
      <c r="H6" s="28">
        <f>G6+1</f>
        <v/>
      </c>
      <c r="I6" s="129">
        <f>H6+1</f>
        <v/>
      </c>
      <c r="J6" s="28">
        <f>I6+1</f>
        <v/>
      </c>
      <c r="K6" s="28">
        <f>J6+1</f>
        <v/>
      </c>
      <c r="L6" s="28">
        <f>K6+1</f>
        <v/>
      </c>
      <c r="M6" s="116">
        <f>L6+1</f>
        <v/>
      </c>
      <c r="N6" s="108">
        <f>M6+1</f>
        <v/>
      </c>
      <c r="O6" s="28">
        <f>N6+1</f>
        <v/>
      </c>
      <c r="P6" s="28">
        <f>O6+1</f>
        <v/>
      </c>
      <c r="Q6" s="108">
        <f>P6+1</f>
        <v/>
      </c>
      <c r="R6" s="28">
        <f>Q6+1</f>
        <v/>
      </c>
      <c r="S6" s="28">
        <f>R6+1</f>
        <v/>
      </c>
      <c r="T6" s="129">
        <f>S6+1</f>
        <v/>
      </c>
      <c r="U6" s="30">
        <f>T6+1</f>
        <v/>
      </c>
      <c r="V6" s="28">
        <f>U6+1</f>
        <v/>
      </c>
      <c r="W6" s="129">
        <f>V6+1</f>
        <v/>
      </c>
      <c r="X6" s="28">
        <f>W6+1</f>
        <v/>
      </c>
      <c r="Y6" s="28">
        <f>X6+1</f>
        <v/>
      </c>
      <c r="Z6" s="28">
        <f>Y6+1</f>
        <v/>
      </c>
      <c r="AA6" s="116">
        <f>Z6+1</f>
        <v/>
      </c>
      <c r="AB6" s="108">
        <f>AA6+1</f>
        <v/>
      </c>
      <c r="AC6" s="28">
        <f>AB6+1</f>
        <v/>
      </c>
      <c r="AD6" s="28">
        <f>AC6+1</f>
        <v/>
      </c>
      <c r="AE6" s="108">
        <f>AD6+1</f>
        <v/>
      </c>
      <c r="AF6" s="28">
        <f>AE6+1</f>
        <v/>
      </c>
      <c r="AG6" s="28">
        <f>AF6+1</f>
        <v/>
      </c>
      <c r="AH6" s="116">
        <f>AG6+1</f>
        <v/>
      </c>
      <c r="AI6" s="8" t="n"/>
      <c r="AJ6" s="8" t="n"/>
      <c r="AK6" s="8" t="n"/>
      <c r="AL6" s="8" t="n"/>
      <c r="AM6" s="194" t="n"/>
      <c r="AN6" s="194" t="n"/>
      <c r="AO6" s="194" t="n"/>
      <c r="AP6" s="194" t="n"/>
      <c r="AQ6" s="194" t="n"/>
      <c r="AR6" s="194" t="n"/>
      <c r="AS6" s="194" t="n"/>
      <c r="AT6" s="194" t="n"/>
      <c r="AU6" s="194" t="n"/>
      <c r="AV6" s="194" t="n"/>
      <c r="AW6" s="194" t="n"/>
      <c r="AX6" s="194" t="n"/>
      <c r="AY6" s="194" t="n"/>
      <c r="AZ6" s="194" t="n"/>
      <c r="BA6" s="194" t="n"/>
      <c r="BB6" s="194" t="n"/>
      <c r="BC6" s="194" t="n"/>
      <c r="BD6" s="6" t="n"/>
      <c r="BE6" s="6" t="n"/>
    </row>
    <row r="7" customFormat="1" s="3">
      <c r="B7" s="210" t="n"/>
      <c r="C7" s="210" t="n"/>
      <c r="D7" s="31">
        <f>D6</f>
        <v/>
      </c>
      <c r="E7" s="29">
        <f>E6</f>
        <v/>
      </c>
      <c r="F7" s="130">
        <f>F6</f>
        <v/>
      </c>
      <c r="G7" s="31">
        <f>G6</f>
        <v/>
      </c>
      <c r="H7" s="29">
        <f>H6</f>
        <v/>
      </c>
      <c r="I7" s="130">
        <f>I6</f>
        <v/>
      </c>
      <c r="J7" s="29">
        <f>J6</f>
        <v/>
      </c>
      <c r="K7" s="29">
        <f>K6</f>
        <v/>
      </c>
      <c r="L7" s="29">
        <f>L6</f>
        <v/>
      </c>
      <c r="M7" s="117">
        <f>M6</f>
        <v/>
      </c>
      <c r="N7" s="109">
        <f>N6</f>
        <v/>
      </c>
      <c r="O7" s="29">
        <f>O6</f>
        <v/>
      </c>
      <c r="P7" s="29">
        <f>P6</f>
        <v/>
      </c>
      <c r="Q7" s="109">
        <f>Q6</f>
        <v/>
      </c>
      <c r="R7" s="29">
        <f>R6</f>
        <v/>
      </c>
      <c r="S7" s="29">
        <f>S6</f>
        <v/>
      </c>
      <c r="T7" s="130">
        <f>T6</f>
        <v/>
      </c>
      <c r="U7" s="31">
        <f>U6</f>
        <v/>
      </c>
      <c r="V7" s="29">
        <f>V6</f>
        <v/>
      </c>
      <c r="W7" s="130">
        <f>W6</f>
        <v/>
      </c>
      <c r="X7" s="29">
        <f>X6</f>
        <v/>
      </c>
      <c r="Y7" s="29">
        <f>Y6</f>
        <v/>
      </c>
      <c r="Z7" s="29">
        <f>Z6</f>
        <v/>
      </c>
      <c r="AA7" s="117">
        <f>AA6</f>
        <v/>
      </c>
      <c r="AB7" s="109">
        <f>AB6</f>
        <v/>
      </c>
      <c r="AC7" s="29">
        <f>AC6</f>
        <v/>
      </c>
      <c r="AD7" s="29">
        <f>AD6</f>
        <v/>
      </c>
      <c r="AE7" s="109">
        <f>AE6</f>
        <v/>
      </c>
      <c r="AF7" s="29">
        <f>AF6</f>
        <v/>
      </c>
      <c r="AG7" s="29">
        <f>AG6</f>
        <v/>
      </c>
      <c r="AH7" s="117">
        <f>AH6</f>
        <v/>
      </c>
      <c r="AI7" s="202" t="inlineStr">
        <is>
          <t>V</t>
        </is>
      </c>
      <c r="AJ7" s="200" t="inlineStr">
        <is>
          <t>R</t>
        </is>
      </c>
      <c r="AK7" s="208" t="inlineStr">
        <is>
          <t>休業</t>
        </is>
      </c>
      <c r="AL7" s="200" t="inlineStr">
        <is>
          <t>of</t>
        </is>
      </c>
      <c r="AM7" s="194" t="n"/>
      <c r="AN7" s="194" t="n"/>
      <c r="AO7" s="194" t="n"/>
      <c r="AP7" s="194" t="n"/>
      <c r="AQ7" s="194" t="n"/>
      <c r="AR7" s="194" t="n"/>
      <c r="AS7" s="194" t="n"/>
      <c r="AT7" s="194" t="n"/>
      <c r="AU7" s="194" t="n"/>
      <c r="AV7" s="194" t="n"/>
      <c r="AW7" s="194" t="n"/>
      <c r="AX7" s="194" t="n"/>
      <c r="AY7" s="194" t="n"/>
      <c r="AZ7" s="194" t="n"/>
      <c r="BA7" s="194" t="n"/>
      <c r="BB7" s="194" t="n"/>
      <c r="BC7" s="194" t="n"/>
      <c r="BD7" s="6" t="n"/>
      <c r="BE7" s="6" t="n"/>
    </row>
    <row r="8" ht="15" customFormat="1" customHeight="1" s="4" thickBot="1">
      <c r="B8" s="211" t="n"/>
      <c r="C8" s="211" t="n"/>
      <c r="D8" s="45">
        <f>D6</f>
        <v/>
      </c>
      <c r="E8" s="46">
        <f>E6</f>
        <v/>
      </c>
      <c r="F8" s="131">
        <f>F6</f>
        <v/>
      </c>
      <c r="G8" s="45">
        <f>G6</f>
        <v/>
      </c>
      <c r="H8" s="46">
        <f>H6</f>
        <v/>
      </c>
      <c r="I8" s="131">
        <f>I6</f>
        <v/>
      </c>
      <c r="J8" s="46">
        <f>J6</f>
        <v/>
      </c>
      <c r="K8" s="46">
        <f>K6</f>
        <v/>
      </c>
      <c r="L8" s="46">
        <f>L6</f>
        <v/>
      </c>
      <c r="M8" s="118">
        <f>M6</f>
        <v/>
      </c>
      <c r="N8" s="110">
        <f>N6</f>
        <v/>
      </c>
      <c r="O8" s="46">
        <f>O6</f>
        <v/>
      </c>
      <c r="P8" s="46">
        <f>P6</f>
        <v/>
      </c>
      <c r="Q8" s="110">
        <f>Q6</f>
        <v/>
      </c>
      <c r="R8" s="46">
        <f>R6</f>
        <v/>
      </c>
      <c r="S8" s="46">
        <f>S6</f>
        <v/>
      </c>
      <c r="T8" s="131">
        <f>T6</f>
        <v/>
      </c>
      <c r="U8" s="45">
        <f>U6</f>
        <v/>
      </c>
      <c r="V8" s="46">
        <f>V6</f>
        <v/>
      </c>
      <c r="W8" s="131">
        <f>W6</f>
        <v/>
      </c>
      <c r="X8" s="46">
        <f>X6</f>
        <v/>
      </c>
      <c r="Y8" s="46">
        <f>Y6</f>
        <v/>
      </c>
      <c r="Z8" s="46">
        <f>Z6</f>
        <v/>
      </c>
      <c r="AA8" s="118">
        <f>AA6</f>
        <v/>
      </c>
      <c r="AB8" s="110">
        <f>AB6</f>
        <v/>
      </c>
      <c r="AC8" s="46">
        <f>AC6</f>
        <v/>
      </c>
      <c r="AD8" s="46">
        <f>AD6</f>
        <v/>
      </c>
      <c r="AE8" s="110">
        <f>AE6</f>
        <v/>
      </c>
      <c r="AF8" s="46">
        <f>AF6</f>
        <v/>
      </c>
      <c r="AG8" s="46">
        <f>AG6</f>
        <v/>
      </c>
      <c r="AH8" s="128">
        <f>AH6</f>
        <v/>
      </c>
      <c r="AI8" s="203" t="n"/>
      <c r="AJ8" s="201" t="n"/>
      <c r="AK8" s="201" t="n"/>
      <c r="AL8" s="201" t="n"/>
      <c r="AM8" s="194" t="n"/>
      <c r="AN8" s="191" t="inlineStr">
        <is>
          <t>Rev</t>
        </is>
      </c>
      <c r="AO8" s="192" t="n"/>
      <c r="AP8" s="194" t="n"/>
      <c r="AQ8" s="194" t="n"/>
      <c r="AR8" s="194" t="n"/>
      <c r="AS8" s="194" t="n"/>
      <c r="AT8" s="194" t="n"/>
      <c r="AU8" s="194" t="n"/>
      <c r="AV8" s="194" t="n"/>
      <c r="AW8" s="194" t="n"/>
      <c r="AX8" s="194" t="n"/>
      <c r="AY8" s="194" t="n"/>
      <c r="AZ8" s="194" t="n"/>
      <c r="BA8" s="194" t="n"/>
      <c r="BB8" s="194" t="n"/>
      <c r="BC8" s="194" t="n"/>
      <c r="BD8" s="6" t="n"/>
      <c r="BE8" s="6" t="n"/>
    </row>
    <row r="9" ht="29.25" customHeight="1" thickBot="1">
      <c r="A9" s="15" t="n">
        <v>1</v>
      </c>
      <c r="B9" s="25" t="inlineStr">
        <is>
          <t>NITTA</t>
        </is>
      </c>
      <c r="C9" s="25" t="n">
        <v>627</v>
      </c>
      <c r="D9" s="81" t="n"/>
      <c r="E9" s="82" t="n"/>
      <c r="F9" s="132" t="n"/>
      <c r="G9" s="81" t="n"/>
      <c r="H9" s="107" t="n"/>
      <c r="I9" s="132" t="inlineStr"/>
      <c r="J9" s="107" t="n"/>
      <c r="K9" s="82" t="n"/>
      <c r="L9" s="82" t="n"/>
      <c r="M9" s="119" t="n"/>
      <c r="N9" s="125" t="n"/>
      <c r="O9" s="107" t="n"/>
      <c r="P9" s="82" t="n"/>
      <c r="Q9" s="111" t="n"/>
      <c r="R9" s="107" t="n"/>
      <c r="S9" s="82" t="n"/>
      <c r="T9" s="132" t="n"/>
      <c r="U9" s="81" t="n"/>
      <c r="V9" s="107" t="n"/>
      <c r="W9" s="132" t="n"/>
      <c r="X9" s="82" t="n"/>
      <c r="Y9" s="82" t="n"/>
      <c r="Z9" s="82" t="n"/>
      <c r="AA9" s="190" t="n"/>
      <c r="AB9" s="81" t="n"/>
      <c r="AC9" s="82" t="n"/>
      <c r="AD9" s="82" t="n"/>
      <c r="AE9" s="125" t="n"/>
      <c r="AF9" s="107" t="n"/>
      <c r="AG9" s="82" t="n"/>
      <c r="AH9" s="82" t="n"/>
      <c r="AI9" s="57">
        <f>COUNTIF(D9:AH9,"V")</f>
        <v/>
      </c>
      <c r="AJ9" s="19">
        <f>COUNTIF(D9:AH9,"R")</f>
        <v/>
      </c>
      <c r="AK9" s="19">
        <f>COUNTIF(D9:AH9,"休業")</f>
        <v/>
      </c>
      <c r="AL9" s="58">
        <f>COUNTIF(D9:AH9,"OFF")</f>
        <v/>
      </c>
      <c r="AN9" s="197" t="inlineStr">
        <is>
          <t>④  2024/8/17</t>
        </is>
      </c>
      <c r="AO9" s="198" t="n"/>
      <c r="AP9" s="198" t="n"/>
      <c r="AQ9" s="198" t="n"/>
      <c r="AR9" s="199" t="n"/>
    </row>
    <row r="10" ht="29.25" customHeight="1">
      <c r="A10" s="15" t="n">
        <v>2</v>
      </c>
      <c r="B10" s="25" t="inlineStr">
        <is>
          <t>KOBAYASHI</t>
        </is>
      </c>
      <c r="C10" s="25" t="n">
        <v>113</v>
      </c>
      <c r="D10" s="105" t="inlineStr"/>
      <c r="E10" s="106" t="n">
        <v>7</v>
      </c>
      <c r="F10" s="133" t="n">
        <v>7</v>
      </c>
      <c r="G10" s="105" t="inlineStr">
        <is>
          <t>off</t>
        </is>
      </c>
      <c r="H10" s="106" t="n">
        <v>14</v>
      </c>
      <c r="I10" s="133" t="n">
        <v>14</v>
      </c>
      <c r="J10" s="106" t="inlineStr"/>
      <c r="K10" s="106" t="n">
        <v>14</v>
      </c>
      <c r="L10" s="106" t="inlineStr">
        <is>
          <t>OFF</t>
        </is>
      </c>
      <c r="M10" s="120" t="n">
        <v>14</v>
      </c>
      <c r="N10" s="112" t="inlineStr">
        <is>
          <t>off</t>
        </is>
      </c>
      <c r="O10" s="106" t="n">
        <v>14</v>
      </c>
      <c r="P10" s="106" t="inlineStr">
        <is>
          <t>OFF</t>
        </is>
      </c>
      <c r="Q10" s="112" t="n">
        <v>14</v>
      </c>
      <c r="R10" s="106" t="n">
        <v>7</v>
      </c>
      <c r="S10" s="106" t="n">
        <v>14</v>
      </c>
      <c r="T10" s="133" t="n">
        <v>7</v>
      </c>
      <c r="U10" s="105" t="n">
        <v>7</v>
      </c>
      <c r="V10" s="106" t="inlineStr">
        <is>
          <t>OFF</t>
        </is>
      </c>
      <c r="W10" s="133" t="n">
        <v>14</v>
      </c>
      <c r="X10" s="106" t="inlineStr">
        <is>
          <t>off</t>
        </is>
      </c>
      <c r="Y10" s="106" t="n">
        <v>7</v>
      </c>
      <c r="Z10" s="106" t="n">
        <v>14</v>
      </c>
      <c r="AA10" s="120" t="n">
        <v>23</v>
      </c>
      <c r="AB10" s="112" t="n">
        <v>7</v>
      </c>
      <c r="AC10" s="106" t="inlineStr">
        <is>
          <t>off</t>
        </is>
      </c>
      <c r="AD10" s="106" t="n">
        <v>7</v>
      </c>
      <c r="AE10" s="112" t="n">
        <v>14</v>
      </c>
      <c r="AF10" s="106" t="n">
        <v>7</v>
      </c>
      <c r="AG10" s="106" t="inlineStr">
        <is>
          <t>OFF</t>
        </is>
      </c>
      <c r="AH10" s="75" t="inlineStr"/>
      <c r="AI10" s="57">
        <f>COUNTIF(D10:AH10,"V")</f>
        <v/>
      </c>
      <c r="AJ10" s="19">
        <f>COUNTIF(D10:AH10,"R")</f>
        <v/>
      </c>
      <c r="AK10" s="19">
        <f>COUNTIF(D10:AH10,"休業")</f>
        <v/>
      </c>
      <c r="AL10" s="20">
        <f>COUNTIF(D10:AH10,"OFF")</f>
        <v/>
      </c>
      <c r="AP10" s="189" t="n"/>
      <c r="AQ10" s="48" t="n"/>
    </row>
    <row r="11" ht="29.25" customHeight="1">
      <c r="A11" s="14" t="n">
        <v>3</v>
      </c>
      <c r="B11" s="27" t="inlineStr">
        <is>
          <t>ISHII</t>
        </is>
      </c>
      <c r="C11" s="27" t="n">
        <v>826</v>
      </c>
      <c r="D11" s="145" t="inlineStr"/>
      <c r="E11" s="75" t="n">
        <v>14</v>
      </c>
      <c r="F11" s="134" t="n">
        <v>23</v>
      </c>
      <c r="G11" s="76" t="n">
        <v>7</v>
      </c>
      <c r="H11" s="75" t="n">
        <v>7</v>
      </c>
      <c r="I11" s="75" t="n">
        <v>6</v>
      </c>
      <c r="J11" s="75" t="n">
        <v>14</v>
      </c>
      <c r="K11" s="75" t="n">
        <v>7</v>
      </c>
      <c r="L11" s="75" t="inlineStr">
        <is>
          <t>OFF</t>
        </is>
      </c>
      <c r="M11" s="121" t="inlineStr">
        <is>
          <t>off</t>
        </is>
      </c>
      <c r="N11" s="113" t="n">
        <v>14</v>
      </c>
      <c r="O11" s="75" t="n">
        <v>7</v>
      </c>
      <c r="P11" s="75" t="n">
        <v>7</v>
      </c>
      <c r="Q11" s="113" t="n">
        <v>7</v>
      </c>
      <c r="R11" s="75" t="inlineStr">
        <is>
          <t>off</t>
        </is>
      </c>
      <c r="S11" s="75" t="inlineStr">
        <is>
          <t>OFF</t>
        </is>
      </c>
      <c r="T11" s="134" t="inlineStr"/>
      <c r="U11" s="76" t="inlineStr">
        <is>
          <t>off</t>
        </is>
      </c>
      <c r="V11" s="75" t="n">
        <v>14</v>
      </c>
      <c r="W11" s="75" t="inlineStr">
        <is>
          <t>OFF</t>
        </is>
      </c>
      <c r="X11" s="75" t="n">
        <v>7</v>
      </c>
      <c r="Y11" s="75" t="n">
        <v>14</v>
      </c>
      <c r="Z11" s="75" t="n">
        <v>7</v>
      </c>
      <c r="AA11" s="121" t="n">
        <v>14</v>
      </c>
      <c r="AB11" s="113" t="inlineStr">
        <is>
          <t>off</t>
        </is>
      </c>
      <c r="AC11" s="75" t="n">
        <v>7</v>
      </c>
      <c r="AD11" s="75" t="inlineStr">
        <is>
          <t>OFF</t>
        </is>
      </c>
      <c r="AE11" s="113" t="n">
        <v>7</v>
      </c>
      <c r="AF11" s="75" t="n">
        <v>14</v>
      </c>
      <c r="AG11" s="75" t="n">
        <v>7</v>
      </c>
      <c r="AH11" s="75" t="n">
        <v>14</v>
      </c>
      <c r="AI11" s="59">
        <f>COUNTIF(D11:AH11,"V")</f>
        <v/>
      </c>
      <c r="AJ11" s="17">
        <f>COUNTIF(D11:AH11,"R")</f>
        <v/>
      </c>
      <c r="AK11" s="17">
        <f>COUNTIF(D11:AH11,"休業")</f>
        <v/>
      </c>
      <c r="AL11" s="21">
        <f>COUNTIF(D11:AH11,"OFF")</f>
        <v/>
      </c>
      <c r="AP11" s="47" t="n"/>
    </row>
    <row r="12" ht="29.25" customHeight="1">
      <c r="A12" s="14" t="n">
        <v>4</v>
      </c>
      <c r="B12" s="27" t="inlineStr">
        <is>
          <t>KAJIWARA</t>
        </is>
      </c>
      <c r="C12" s="27" t="n">
        <v>638</v>
      </c>
      <c r="D12" s="76" t="n">
        <v>14</v>
      </c>
      <c r="E12" s="75" t="inlineStr"/>
      <c r="F12" s="134" t="n">
        <v>14</v>
      </c>
      <c r="G12" s="76" t="n">
        <v>14</v>
      </c>
      <c r="H12" s="75" t="n">
        <v>7</v>
      </c>
      <c r="I12" s="134" t="inlineStr">
        <is>
          <t>off</t>
        </is>
      </c>
      <c r="J12" s="75" t="n">
        <v>7</v>
      </c>
      <c r="K12" s="75" t="inlineStr">
        <is>
          <t>OFF</t>
        </is>
      </c>
      <c r="L12" s="75" t="n">
        <v>14</v>
      </c>
      <c r="M12" s="121" t="n">
        <v>23</v>
      </c>
      <c r="N12" s="113" t="inlineStr">
        <is>
          <t>off</t>
        </is>
      </c>
      <c r="O12" s="75" t="n">
        <v>7</v>
      </c>
      <c r="P12" s="75" t="n">
        <v>14</v>
      </c>
      <c r="Q12" s="75" t="inlineStr"/>
      <c r="R12" s="75" t="n">
        <v>14</v>
      </c>
      <c r="S12" s="75" t="inlineStr">
        <is>
          <t>OFF</t>
        </is>
      </c>
      <c r="T12" s="134" t="n">
        <v>14</v>
      </c>
      <c r="U12" s="76" t="n">
        <v>14</v>
      </c>
      <c r="V12" s="75" t="n">
        <v>7</v>
      </c>
      <c r="W12" s="134" t="n">
        <v>7</v>
      </c>
      <c r="X12" s="75" t="n">
        <v>14</v>
      </c>
      <c r="Y12" s="75" t="inlineStr">
        <is>
          <t>OFF</t>
        </is>
      </c>
      <c r="Z12" s="75" t="inlineStr">
        <is>
          <t>off</t>
        </is>
      </c>
      <c r="AA12" s="121" t="n">
        <v>7</v>
      </c>
      <c r="AB12" s="113" t="n">
        <v>14</v>
      </c>
      <c r="AC12" s="75" t="n">
        <v>14</v>
      </c>
      <c r="AD12" s="75" t="n">
        <v>14</v>
      </c>
      <c r="AE12" s="75" t="inlineStr">
        <is>
          <t>off</t>
        </is>
      </c>
      <c r="AF12" s="75" t="inlineStr">
        <is>
          <t>OFF</t>
        </is>
      </c>
      <c r="AG12" s="75" t="n">
        <v>14</v>
      </c>
      <c r="AH12" s="75" t="n">
        <v>23</v>
      </c>
      <c r="AI12" s="59">
        <f>COUNTIF(D12:AH12,"V")</f>
        <v/>
      </c>
      <c r="AJ12" s="17">
        <f>COUNTIF(D12:AH12,"R")</f>
        <v/>
      </c>
      <c r="AK12" s="17">
        <f>COUNTIF(D12:AH12,"休業")</f>
        <v/>
      </c>
      <c r="AL12" s="21">
        <f>COUNTIF(D12:AH12,"OFF")</f>
        <v/>
      </c>
    </row>
    <row r="13" ht="29.25" customHeight="1">
      <c r="A13" s="14" t="n">
        <v>5</v>
      </c>
      <c r="B13" s="27" t="inlineStr">
        <is>
          <t>SHIOTANI</t>
        </is>
      </c>
      <c r="C13" s="27" t="n">
        <v>840</v>
      </c>
      <c r="D13" s="76" t="n">
        <v>6</v>
      </c>
      <c r="E13" s="75" t="n">
        <v>6</v>
      </c>
      <c r="F13" s="134" t="n">
        <v>6</v>
      </c>
      <c r="G13" s="76" t="inlineStr">
        <is>
          <t>off</t>
        </is>
      </c>
      <c r="H13" s="75" t="n">
        <v>6</v>
      </c>
      <c r="I13" s="134" t="n">
        <v>6</v>
      </c>
      <c r="J13" s="75" t="n">
        <v>6</v>
      </c>
      <c r="K13" s="75" t="n">
        <v>6</v>
      </c>
      <c r="L13" s="75" t="n">
        <v>6</v>
      </c>
      <c r="M13" s="121" t="inlineStr">
        <is>
          <t>OFF</t>
        </is>
      </c>
      <c r="N13" s="113" t="n">
        <v>6</v>
      </c>
      <c r="O13" s="75" t="n">
        <v>6</v>
      </c>
      <c r="P13" s="75" t="inlineStr">
        <is>
          <t>off</t>
        </is>
      </c>
      <c r="Q13" s="75" t="n">
        <v>6</v>
      </c>
      <c r="R13" s="75" t="n">
        <v>6</v>
      </c>
      <c r="S13" s="75" t="n">
        <v>6</v>
      </c>
      <c r="T13" s="134" t="inlineStr">
        <is>
          <t>OFF</t>
        </is>
      </c>
      <c r="U13" s="76" t="n">
        <v>6</v>
      </c>
      <c r="V13" s="75" t="inlineStr"/>
      <c r="W13" s="75" t="n">
        <v>6</v>
      </c>
      <c r="X13" s="75" t="n">
        <v>7</v>
      </c>
      <c r="Y13" s="75" t="inlineStr">
        <is>
          <t>OFF</t>
        </is>
      </c>
      <c r="Z13" s="75" t="n">
        <v>6</v>
      </c>
      <c r="AA13" s="121" t="inlineStr">
        <is>
          <t>off</t>
        </is>
      </c>
      <c r="AB13" s="113" t="n">
        <v>6</v>
      </c>
      <c r="AC13" s="75" t="n">
        <v>6</v>
      </c>
      <c r="AD13" s="75" t="inlineStr">
        <is>
          <t>OFF</t>
        </is>
      </c>
      <c r="AE13" s="113" t="n">
        <v>6</v>
      </c>
      <c r="AF13" s="75" t="inlineStr"/>
      <c r="AG13" s="75" t="n">
        <v>6</v>
      </c>
      <c r="AH13" s="75" t="inlineStr">
        <is>
          <t>off</t>
        </is>
      </c>
      <c r="AI13" s="59">
        <f>COUNTIF(D13:AH13,"V")</f>
        <v/>
      </c>
      <c r="AJ13" s="17">
        <f>COUNTIF(D13:AH13,"R")</f>
        <v/>
      </c>
      <c r="AK13" s="17">
        <f>COUNTIF(D13:AH13,"休業")</f>
        <v/>
      </c>
      <c r="AL13" s="21">
        <f>COUNTIF(D13:AH13,"OFF")</f>
        <v/>
      </c>
    </row>
    <row r="14" ht="29.25" customHeight="1">
      <c r="A14" s="65" t="n">
        <v>6</v>
      </c>
      <c r="B14" s="27" t="inlineStr">
        <is>
          <t>YAMAKURA</t>
        </is>
      </c>
      <c r="C14" s="27" t="n">
        <v>861</v>
      </c>
      <c r="D14" s="76" t="n">
        <v>7</v>
      </c>
      <c r="E14" s="75" t="inlineStr"/>
      <c r="F14" s="134" t="inlineStr"/>
      <c r="G14" s="76" t="n">
        <v>6</v>
      </c>
      <c r="H14" s="75" t="inlineStr">
        <is>
          <t>OFF</t>
        </is>
      </c>
      <c r="I14" s="134" t="inlineStr">
        <is>
          <t>off</t>
        </is>
      </c>
      <c r="J14" s="75" t="n">
        <v>7</v>
      </c>
      <c r="K14" s="75" t="inlineStr"/>
      <c r="L14" s="75" t="n">
        <v>7</v>
      </c>
      <c r="M14" s="121" t="n">
        <v>7</v>
      </c>
      <c r="N14" s="113" t="n">
        <v>7</v>
      </c>
      <c r="O14" s="75" t="inlineStr">
        <is>
          <t>OFF</t>
        </is>
      </c>
      <c r="P14" s="75" t="inlineStr">
        <is>
          <t>off</t>
        </is>
      </c>
      <c r="Q14" s="75" t="n">
        <v>7</v>
      </c>
      <c r="R14" s="75" t="n">
        <v>6</v>
      </c>
      <c r="S14" s="75" t="n">
        <v>7</v>
      </c>
      <c r="T14" s="134" t="n">
        <v>23</v>
      </c>
      <c r="U14" s="76" t="inlineStr">
        <is>
          <t>off</t>
        </is>
      </c>
      <c r="V14" s="75" t="n">
        <v>7</v>
      </c>
      <c r="W14" s="134" t="inlineStr"/>
      <c r="X14" s="75" t="n">
        <v>6</v>
      </c>
      <c r="Y14" s="75" t="n">
        <v>6</v>
      </c>
      <c r="Z14" s="75" t="n">
        <v>6</v>
      </c>
      <c r="AA14" s="121" t="inlineStr">
        <is>
          <t>OFF</t>
        </is>
      </c>
      <c r="AB14" s="113" t="inlineStr">
        <is>
          <t>OFF</t>
        </is>
      </c>
      <c r="AC14" s="75" t="n">
        <v>7</v>
      </c>
      <c r="AD14" s="75" t="n">
        <v>6</v>
      </c>
      <c r="AE14" s="75" t="n">
        <v>7</v>
      </c>
      <c r="AF14" s="75" t="n">
        <v>6</v>
      </c>
      <c r="AG14" s="75" t="inlineStr">
        <is>
          <t>off</t>
        </is>
      </c>
      <c r="AH14" s="75" t="n">
        <v>7</v>
      </c>
      <c r="AI14" s="59">
        <f>COUNTIF(D14:AH14,"V")</f>
        <v/>
      </c>
      <c r="AJ14" s="17">
        <f>COUNTIF(D14:AH14,"R")</f>
        <v/>
      </c>
      <c r="AK14" s="17">
        <f>COUNTIF(D14:AH14,"欠")</f>
        <v/>
      </c>
      <c r="AL14" s="21">
        <f>COUNTIF(D14:AH14,"OFF")</f>
        <v/>
      </c>
    </row>
    <row r="15" ht="29.25" customHeight="1">
      <c r="A15" s="98" t="n">
        <v>7</v>
      </c>
      <c r="B15" s="26" t="inlineStr">
        <is>
          <t>IGUCHI</t>
        </is>
      </c>
      <c r="C15" s="26" t="n">
        <v>934</v>
      </c>
      <c r="D15" s="76" t="inlineStr"/>
      <c r="E15" s="75" t="n">
        <v>6</v>
      </c>
      <c r="F15" s="134" t="n">
        <v>6</v>
      </c>
      <c r="G15" s="76" t="inlineStr">
        <is>
          <t>OFF</t>
        </is>
      </c>
      <c r="H15" s="75" t="n">
        <v>6</v>
      </c>
      <c r="I15" s="75" t="n">
        <v>6</v>
      </c>
      <c r="J15" s="75" t="n">
        <v>6</v>
      </c>
      <c r="K15" s="75" t="inlineStr">
        <is>
          <t>off</t>
        </is>
      </c>
      <c r="L15" s="75" t="n">
        <v>6</v>
      </c>
      <c r="M15" s="121" t="n">
        <v>6</v>
      </c>
      <c r="N15" s="113" t="n">
        <v>6</v>
      </c>
      <c r="O15" s="75" t="inlineStr">
        <is>
          <t>off</t>
        </is>
      </c>
      <c r="P15" s="75" t="n">
        <v>6</v>
      </c>
      <c r="Q15" s="113" t="n">
        <v>6</v>
      </c>
      <c r="R15" s="75" t="inlineStr">
        <is>
          <t>OFF</t>
        </is>
      </c>
      <c r="S15" s="75" t="n">
        <v>6</v>
      </c>
      <c r="T15" s="134" t="n">
        <v>6</v>
      </c>
      <c r="U15" s="76" t="n">
        <v>6</v>
      </c>
      <c r="V15" s="75" t="n">
        <v>6</v>
      </c>
      <c r="W15" s="134" t="inlineStr">
        <is>
          <t>OFF</t>
        </is>
      </c>
      <c r="X15" s="75" t="inlineStr">
        <is>
          <t>off</t>
        </is>
      </c>
      <c r="Y15" s="75" t="n">
        <v>6</v>
      </c>
      <c r="Z15" s="75" t="inlineStr"/>
      <c r="AA15" s="121" t="n">
        <v>6</v>
      </c>
      <c r="AB15" s="113" t="inlineStr">
        <is>
          <t>off</t>
        </is>
      </c>
      <c r="AC15" s="75" t="inlineStr">
        <is>
          <t>OFF</t>
        </is>
      </c>
      <c r="AD15" s="75" t="n">
        <v>6</v>
      </c>
      <c r="AE15" s="75" t="n">
        <v>6</v>
      </c>
      <c r="AF15" s="75" t="n">
        <v>6</v>
      </c>
      <c r="AG15" s="75" t="inlineStr"/>
      <c r="AH15" s="97" t="n">
        <v>6</v>
      </c>
      <c r="AI15" s="68">
        <f>COUNTIF(D15:AH15,"V")</f>
        <v/>
      </c>
      <c r="AJ15" s="69">
        <f>COUNTIF(D15:AH15,"R")</f>
        <v/>
      </c>
      <c r="AK15" s="69">
        <f>COUNTIF(D15:AH15,"欠")</f>
        <v/>
      </c>
      <c r="AL15" s="70">
        <f>COUNTIF(D15:AH15,"OFF")</f>
        <v/>
      </c>
    </row>
    <row r="16" ht="29.25" customHeight="1">
      <c r="A16" s="14" t="n">
        <v>8</v>
      </c>
      <c r="B16" s="27" t="inlineStr">
        <is>
          <t>TAKEDA</t>
        </is>
      </c>
      <c r="C16" s="27" t="n">
        <v>958</v>
      </c>
      <c r="D16" s="76" t="n">
        <v>6</v>
      </c>
      <c r="E16" s="75" t="n">
        <v>6</v>
      </c>
      <c r="F16" s="134" t="inlineStr"/>
      <c r="G16" s="76" t="n">
        <v>6</v>
      </c>
      <c r="H16" s="75" t="inlineStr">
        <is>
          <t>off</t>
        </is>
      </c>
      <c r="I16" s="75" t="inlineStr">
        <is>
          <t>OFF</t>
        </is>
      </c>
      <c r="J16" s="75" t="n">
        <v>6</v>
      </c>
      <c r="K16" s="75" t="n">
        <v>6</v>
      </c>
      <c r="L16" s="75" t="inlineStr"/>
      <c r="M16" s="121" t="n">
        <v>6</v>
      </c>
      <c r="N16" s="113" t="n">
        <v>6</v>
      </c>
      <c r="O16" s="75" t="n">
        <v>6</v>
      </c>
      <c r="P16" s="75" t="n">
        <v>6</v>
      </c>
      <c r="Q16" s="75" t="inlineStr">
        <is>
          <t>OFF</t>
        </is>
      </c>
      <c r="R16" s="75" t="inlineStr"/>
      <c r="S16" s="75" t="inlineStr">
        <is>
          <t>off</t>
        </is>
      </c>
      <c r="T16" s="134" t="n">
        <v>6</v>
      </c>
      <c r="U16" s="76" t="n">
        <v>6</v>
      </c>
      <c r="V16" s="75" t="n">
        <v>6</v>
      </c>
      <c r="W16" s="75" t="n">
        <v>6</v>
      </c>
      <c r="X16" s="75" t="n">
        <v>6</v>
      </c>
      <c r="Y16" s="75" t="inlineStr">
        <is>
          <t>OFF</t>
        </is>
      </c>
      <c r="Z16" s="75" t="inlineStr">
        <is>
          <t>off</t>
        </is>
      </c>
      <c r="AA16" s="121" t="n">
        <v>6</v>
      </c>
      <c r="AB16" s="113" t="n">
        <v>6</v>
      </c>
      <c r="AC16" s="75" t="n">
        <v>6</v>
      </c>
      <c r="AD16" s="75" t="inlineStr">
        <is>
          <t>OFF</t>
        </is>
      </c>
      <c r="AE16" s="75" t="inlineStr"/>
      <c r="AF16" s="75" t="inlineStr">
        <is>
          <t>off</t>
        </is>
      </c>
      <c r="AG16" s="75" t="n">
        <v>6</v>
      </c>
      <c r="AH16" s="144" t="n">
        <v>6</v>
      </c>
      <c r="AI16" s="59">
        <f>COUNTIF(D16:AH16,"V")</f>
        <v/>
      </c>
      <c r="AJ16" s="17">
        <f>COUNTIF(D16:AH16,"R")</f>
        <v/>
      </c>
      <c r="AK16" s="17">
        <f>COUNTIF(D16:AH16,"欠")</f>
        <v/>
      </c>
      <c r="AL16" s="21">
        <f>COUNTIF(D16:AH16,"OFF")</f>
        <v/>
      </c>
    </row>
    <row r="17" ht="29.25" customHeight="1" thickBot="1">
      <c r="A17" s="98" t="n">
        <v>9</v>
      </c>
      <c r="B17" s="26" t="inlineStr">
        <is>
          <t>KITAZAKI</t>
        </is>
      </c>
      <c r="C17" s="99" t="n">
        <v>973</v>
      </c>
      <c r="D17" s="96" t="inlineStr"/>
      <c r="E17" s="97" t="inlineStr"/>
      <c r="F17" s="135" t="n">
        <v>6</v>
      </c>
      <c r="G17" s="76" t="n">
        <v>6</v>
      </c>
      <c r="H17" s="97" t="n">
        <v>6</v>
      </c>
      <c r="I17" s="135" t="inlineStr">
        <is>
          <t>OFF</t>
        </is>
      </c>
      <c r="J17" s="97" t="inlineStr"/>
      <c r="K17" s="97" t="inlineStr">
        <is>
          <t>off</t>
        </is>
      </c>
      <c r="L17" s="97" t="n">
        <v>6</v>
      </c>
      <c r="M17" s="122" t="n">
        <v>6</v>
      </c>
      <c r="N17" s="114" t="inlineStr">
        <is>
          <t>OFF</t>
        </is>
      </c>
      <c r="O17" s="97" t="n">
        <v>6</v>
      </c>
      <c r="P17" s="97" t="inlineStr">
        <is>
          <t>off</t>
        </is>
      </c>
      <c r="Q17" s="97" t="n">
        <v>6</v>
      </c>
      <c r="R17" s="97" t="inlineStr"/>
      <c r="S17" s="97" t="n">
        <v>6</v>
      </c>
      <c r="T17" s="135" t="n">
        <v>6</v>
      </c>
      <c r="U17" s="96" t="inlineStr"/>
      <c r="V17" s="97" t="n">
        <v>6</v>
      </c>
      <c r="W17" s="135" t="inlineStr">
        <is>
          <t>OFF</t>
        </is>
      </c>
      <c r="X17" s="97" t="n">
        <v>6</v>
      </c>
      <c r="Y17" s="97" t="inlineStr">
        <is>
          <t>off</t>
        </is>
      </c>
      <c r="Z17" s="97" t="n">
        <v>6</v>
      </c>
      <c r="AA17" s="122" t="n">
        <v>6</v>
      </c>
      <c r="AB17" s="114" t="n">
        <v>6</v>
      </c>
      <c r="AC17" s="97" t="n">
        <v>6</v>
      </c>
      <c r="AD17" s="97" t="inlineStr">
        <is>
          <t>OFF</t>
        </is>
      </c>
      <c r="AE17" s="97" t="n">
        <v>6</v>
      </c>
      <c r="AF17" s="97" t="inlineStr">
        <is>
          <t>off</t>
        </is>
      </c>
      <c r="AG17" s="97" t="n">
        <v>6</v>
      </c>
      <c r="AH17" s="77" t="n">
        <v>6</v>
      </c>
      <c r="AI17" s="68">
        <f>COUNTIF(D17:AH17,"V")</f>
        <v/>
      </c>
      <c r="AJ17" s="69">
        <f>COUNTIF(D17:AH17,"R")</f>
        <v/>
      </c>
      <c r="AK17" s="69">
        <f>COUNTIF(D17:AH17,"欠")</f>
        <v/>
      </c>
      <c r="AL17" s="70">
        <f>COUNTIF(D17:AH17,"OFF")</f>
        <v/>
      </c>
    </row>
    <row r="18" ht="29.25" customHeight="1" thickTop="1">
      <c r="A18" s="100" t="n">
        <v>10</v>
      </c>
      <c r="B18" s="101" t="inlineStr">
        <is>
          <t>USHINOHAMA</t>
        </is>
      </c>
      <c r="C18" s="101" t="n">
        <v>688</v>
      </c>
      <c r="D18" s="104" t="n"/>
      <c r="E18" s="102" t="n"/>
      <c r="F18" s="136" t="n"/>
      <c r="G18" s="104" t="n"/>
      <c r="H18" s="102" t="n"/>
      <c r="I18" s="136" t="inlineStr"/>
      <c r="J18" s="102" t="n"/>
      <c r="K18" s="102" t="n"/>
      <c r="L18" s="102" t="n"/>
      <c r="M18" s="123" t="n"/>
      <c r="N18" s="115" t="n"/>
      <c r="O18" s="102" t="n"/>
      <c r="P18" s="102" t="n"/>
      <c r="Q18" s="115" t="n"/>
      <c r="R18" s="102" t="n"/>
      <c r="S18" s="102" t="n"/>
      <c r="T18" s="136" t="n"/>
      <c r="U18" s="104" t="n"/>
      <c r="V18" s="102" t="n"/>
      <c r="W18" s="136" t="n"/>
      <c r="X18" s="102" t="n"/>
      <c r="Y18" s="102" t="n"/>
      <c r="Z18" s="102" t="n"/>
      <c r="AA18" s="123" t="n"/>
      <c r="AB18" s="115" t="n"/>
      <c r="AC18" s="102" t="n"/>
      <c r="AD18" s="102" t="n"/>
      <c r="AE18" s="115" t="n"/>
      <c r="AF18" s="102" t="n"/>
      <c r="AG18" s="102" t="n"/>
      <c r="AH18" s="102" t="n"/>
      <c r="AI18" s="71">
        <f>COUNTIF(D18:AH18,"V")</f>
        <v/>
      </c>
      <c r="AJ18" s="66">
        <f>COUNTIF(D18:AH18,"R")</f>
        <v/>
      </c>
      <c r="AK18" s="66">
        <f>COUNTIF(D18:AH18,"欠")</f>
        <v/>
      </c>
      <c r="AL18" s="67">
        <f>COUNTIF(D18:AH18,"OFF")</f>
        <v/>
      </c>
    </row>
    <row r="19" ht="29.25" customHeight="1">
      <c r="A19" s="78" t="n">
        <v>11</v>
      </c>
      <c r="B19" s="26" t="inlineStr">
        <is>
          <t>WAKAUME</t>
        </is>
      </c>
      <c r="C19" s="26" t="n">
        <v>814</v>
      </c>
      <c r="D19" s="76" t="n"/>
      <c r="E19" s="75" t="n"/>
      <c r="F19" s="134" t="n"/>
      <c r="G19" s="76" t="n"/>
      <c r="H19" s="75" t="n"/>
      <c r="I19" s="134" t="inlineStr"/>
      <c r="J19" s="75" t="n"/>
      <c r="K19" s="75" t="n"/>
      <c r="L19" s="75" t="n"/>
      <c r="M19" s="121" t="n"/>
      <c r="N19" s="113" t="n"/>
      <c r="O19" s="75" t="n"/>
      <c r="P19" s="75" t="n"/>
      <c r="Q19" s="113" t="n"/>
      <c r="R19" s="75" t="n"/>
      <c r="S19" s="75" t="n"/>
      <c r="T19" s="134" t="n"/>
      <c r="U19" s="76" t="n"/>
      <c r="V19" s="75" t="n"/>
      <c r="W19" s="134" t="n"/>
      <c r="X19" s="75" t="n"/>
      <c r="Y19" s="75" t="n"/>
      <c r="Z19" s="75" t="n"/>
      <c r="AA19" s="121" t="n"/>
      <c r="AB19" s="113" t="n"/>
      <c r="AC19" s="75" t="n"/>
      <c r="AD19" s="75" t="n"/>
      <c r="AE19" s="113" t="n"/>
      <c r="AF19" s="75" t="n"/>
      <c r="AG19" s="75" t="n"/>
      <c r="AH19" s="75" t="n"/>
      <c r="AI19" s="71">
        <f>COUNTIF(D19:AH19,"V")</f>
        <v/>
      </c>
      <c r="AJ19" s="66">
        <f>COUNTIF(D19:AH19,"R")</f>
        <v/>
      </c>
      <c r="AK19" s="66">
        <f>COUNTIF(D19:AH19,"欠")</f>
        <v/>
      </c>
      <c r="AL19" s="67">
        <f>COUNTIF(D19:AH19,"OFF")</f>
        <v/>
      </c>
    </row>
    <row r="20" ht="29.25" customHeight="1">
      <c r="A20" s="78" t="n">
        <v>12</v>
      </c>
      <c r="B20" s="27" t="inlineStr">
        <is>
          <t>IIJIMA</t>
        </is>
      </c>
      <c r="C20" s="27" t="n">
        <v>906</v>
      </c>
      <c r="D20" s="76" t="n"/>
      <c r="E20" s="75" t="n"/>
      <c r="F20" s="134" t="n"/>
      <c r="G20" s="76" t="n"/>
      <c r="H20" s="75" t="n"/>
      <c r="I20" s="134" t="inlineStr"/>
      <c r="J20" s="75" t="n"/>
      <c r="K20" s="75" t="n"/>
      <c r="L20" s="75" t="n"/>
      <c r="M20" s="121" t="n"/>
      <c r="N20" s="113" t="n"/>
      <c r="O20" s="75" t="n"/>
      <c r="P20" s="75" t="n"/>
      <c r="Q20" s="113" t="n"/>
      <c r="R20" s="75" t="n"/>
      <c r="S20" s="75" t="n"/>
      <c r="T20" s="134" t="n"/>
      <c r="U20" s="76" t="n"/>
      <c r="V20" s="75" t="n"/>
      <c r="W20" s="134" t="n"/>
      <c r="X20" s="75" t="n"/>
      <c r="Y20" s="75" t="n"/>
      <c r="Z20" s="75" t="n"/>
      <c r="AA20" s="121" t="n"/>
      <c r="AB20" s="113" t="n"/>
      <c r="AC20" s="75" t="n"/>
      <c r="AD20" s="75" t="n"/>
      <c r="AE20" s="113" t="n"/>
      <c r="AF20" s="75" t="n"/>
      <c r="AG20" s="75" t="n"/>
      <c r="AH20" s="75" t="n"/>
      <c r="AI20" s="90">
        <f>COUNTIF(D20:AH20,"V")</f>
        <v/>
      </c>
      <c r="AJ20" s="91">
        <f>COUNTIF(D20:AH20,"R")</f>
        <v/>
      </c>
      <c r="AK20" s="91">
        <f>COUNTIF(D20:AH20,"欠")</f>
        <v/>
      </c>
      <c r="AL20" s="92">
        <f>COUNTIF(D20:AH20,"OFF")</f>
        <v/>
      </c>
    </row>
    <row r="21" ht="29.25" customHeight="1">
      <c r="A21" s="78" t="n">
        <v>13</v>
      </c>
      <c r="B21" s="27" t="inlineStr">
        <is>
          <t>MY PHI</t>
        </is>
      </c>
      <c r="C21" s="27" t="n">
        <v>951</v>
      </c>
      <c r="D21" s="76" t="n"/>
      <c r="E21" s="75" t="n"/>
      <c r="F21" s="134" t="n"/>
      <c r="G21" s="76" t="n"/>
      <c r="H21" s="75" t="n"/>
      <c r="I21" s="134" t="inlineStr"/>
      <c r="J21" s="75" t="n"/>
      <c r="K21" s="75" t="n"/>
      <c r="L21" s="75" t="n"/>
      <c r="M21" s="121" t="n"/>
      <c r="N21" s="113" t="n"/>
      <c r="O21" s="75" t="n"/>
      <c r="P21" s="75" t="n"/>
      <c r="Q21" s="113" t="n"/>
      <c r="R21" s="75" t="n"/>
      <c r="S21" s="75" t="n"/>
      <c r="T21" s="134" t="n"/>
      <c r="U21" s="76" t="n"/>
      <c r="V21" s="75" t="n"/>
      <c r="W21" s="134" t="n"/>
      <c r="X21" s="75" t="n"/>
      <c r="Y21" s="75" t="n"/>
      <c r="Z21" s="75" t="n"/>
      <c r="AA21" s="121" t="n"/>
      <c r="AB21" s="113" t="n"/>
      <c r="AC21" s="75" t="n"/>
      <c r="AD21" s="75" t="n"/>
      <c r="AE21" s="113" t="n"/>
      <c r="AF21" s="75" t="n"/>
      <c r="AG21" s="75" t="n"/>
      <c r="AH21" s="75" t="n"/>
      <c r="AI21" s="90">
        <f>COUNTIF(D21:AH21,"V")</f>
        <v/>
      </c>
      <c r="AJ21" s="91">
        <f>COUNTIF(D21:AH21,"R")</f>
        <v/>
      </c>
      <c r="AK21" s="91">
        <f>COUNTIF(D21:AH21,"欠")</f>
        <v/>
      </c>
      <c r="AL21" s="92">
        <f>COUNTIF(D21:AH21,"OFF")</f>
        <v/>
      </c>
    </row>
    <row r="22" ht="29.25" customHeight="1">
      <c r="A22" s="78" t="n">
        <v>14</v>
      </c>
      <c r="B22" s="27" t="n"/>
      <c r="C22" s="27" t="n"/>
      <c r="D22" s="76" t="n"/>
      <c r="E22" s="75" t="n"/>
      <c r="F22" s="134" t="n"/>
      <c r="G22" s="76" t="n"/>
      <c r="H22" s="75" t="n"/>
      <c r="I22" s="134" t="inlineStr"/>
      <c r="J22" s="75" t="n"/>
      <c r="K22" s="75" t="n"/>
      <c r="L22" s="75" t="n"/>
      <c r="M22" s="121" t="n"/>
      <c r="N22" s="113" t="n"/>
      <c r="O22" s="75" t="n"/>
      <c r="P22" s="75" t="n"/>
      <c r="Q22" s="113" t="n"/>
      <c r="R22" s="75" t="n"/>
      <c r="S22" s="75" t="n"/>
      <c r="T22" s="134" t="n"/>
      <c r="U22" s="76" t="n"/>
      <c r="V22" s="75" t="n"/>
      <c r="W22" s="134" t="n"/>
      <c r="X22" s="75" t="n"/>
      <c r="Y22" s="75" t="n"/>
      <c r="Z22" s="75" t="n"/>
      <c r="AA22" s="121" t="n"/>
      <c r="AB22" s="113" t="n"/>
      <c r="AC22" s="75" t="n"/>
      <c r="AD22" s="75" t="n"/>
      <c r="AE22" s="113" t="n"/>
      <c r="AF22" s="75" t="n"/>
      <c r="AG22" s="75" t="n"/>
      <c r="AH22" s="75" t="n"/>
      <c r="AI22" s="71" t="n"/>
      <c r="AJ22" s="66" t="n"/>
      <c r="AK22" s="66" t="n"/>
      <c r="AL22" s="67" t="n"/>
    </row>
    <row r="23" ht="29.25" customHeight="1" thickBot="1">
      <c r="A23" s="78" t="n">
        <v>15</v>
      </c>
      <c r="B23" s="27" t="n"/>
      <c r="C23" s="27" t="n"/>
      <c r="D23" s="79" t="n"/>
      <c r="E23" s="75" t="n"/>
      <c r="F23" s="134" t="n"/>
      <c r="G23" s="79" t="n"/>
      <c r="H23" s="138" t="n"/>
      <c r="I23" s="137" t="inlineStr"/>
      <c r="J23" s="138" t="n"/>
      <c r="K23" s="138" t="n"/>
      <c r="L23" s="138" t="n"/>
      <c r="M23" s="124" t="n"/>
      <c r="N23" s="141" t="n"/>
      <c r="O23" s="138" t="n"/>
      <c r="P23" s="138" t="n"/>
      <c r="Q23" s="113" t="n"/>
      <c r="R23" s="103" t="n"/>
      <c r="S23" s="75" t="n"/>
      <c r="T23" s="134" t="n"/>
      <c r="U23" s="143" t="n"/>
      <c r="V23" s="138" t="n"/>
      <c r="W23" s="139" t="n"/>
      <c r="X23" s="138" t="n"/>
      <c r="Y23" s="140" t="n"/>
      <c r="Z23" s="138" t="n"/>
      <c r="AA23" s="126" t="n"/>
      <c r="AB23" s="142" t="n"/>
      <c r="AC23" s="138" t="n"/>
      <c r="AD23" s="138" t="n"/>
      <c r="AE23" s="127" t="n"/>
      <c r="AF23" s="103" t="n"/>
      <c r="AG23" s="75" t="n"/>
      <c r="AH23" s="75" t="n"/>
      <c r="AI23" s="72" t="n"/>
      <c r="AJ23" s="73" t="n"/>
      <c r="AK23" s="73" t="n"/>
      <c r="AL23" s="74" t="n"/>
    </row>
    <row r="24" ht="13.5" customHeight="1">
      <c r="A24" s="194" t="n"/>
      <c r="B24" s="51" t="inlineStr">
        <is>
          <t>6:00～14:00</t>
        </is>
      </c>
      <c r="C24" s="87" t="n"/>
      <c r="D24" s="52">
        <f>COUNTIF(D12:D21,6)</f>
        <v/>
      </c>
      <c r="E24" s="53">
        <f>COUNTIF(E12:E21,6)</f>
        <v/>
      </c>
      <c r="F24" s="53">
        <f>COUNTIF(F12:F21,6)</f>
        <v/>
      </c>
      <c r="G24" s="53">
        <f>COUNTIF(G12:G21,6)</f>
        <v/>
      </c>
      <c r="H24" s="53">
        <f>COUNTIF(H12:H21,6)</f>
        <v/>
      </c>
      <c r="I24" s="53">
        <f>COUNTIF(I12:I21,6)</f>
        <v/>
      </c>
      <c r="J24" s="53">
        <f>COUNTIF(J12:J21,6)</f>
        <v/>
      </c>
      <c r="K24" s="53">
        <f>COUNTIF(K12:K21,6)</f>
        <v/>
      </c>
      <c r="L24" s="53">
        <f>COUNTIF(L12:L21,6)</f>
        <v/>
      </c>
      <c r="M24" s="53">
        <f>COUNTIF(M12:M21,6)</f>
        <v/>
      </c>
      <c r="N24" s="53">
        <f>COUNTIF(N12:N21,6)</f>
        <v/>
      </c>
      <c r="O24" s="53">
        <f>COUNTIF(O12:O21,6)</f>
        <v/>
      </c>
      <c r="P24" s="53">
        <f>COUNTIF(P12:P21,6)</f>
        <v/>
      </c>
      <c r="Q24" s="53">
        <f>COUNTIF(Q12:Q21,6)</f>
        <v/>
      </c>
      <c r="R24" s="53">
        <f>COUNTIF(R12:R21,6)</f>
        <v/>
      </c>
      <c r="S24" s="53">
        <f>COUNTIF(S12:S21,6)</f>
        <v/>
      </c>
      <c r="T24" s="53">
        <f>COUNTIF(T12:T21,6)</f>
        <v/>
      </c>
      <c r="U24" s="53">
        <f>COUNTIF(U12:U21,6)</f>
        <v/>
      </c>
      <c r="V24" s="53">
        <f>COUNTIF(V12:V21,6)</f>
        <v/>
      </c>
      <c r="W24" s="53">
        <f>COUNTIF(W12:W21,6)</f>
        <v/>
      </c>
      <c r="X24" s="53">
        <f>COUNTIF(X12:X21,6)</f>
        <v/>
      </c>
      <c r="Y24" s="53">
        <f>COUNTIF(Y12:Y21,6)</f>
        <v/>
      </c>
      <c r="Z24" s="53">
        <f>COUNTIF(Z12:Z21,6)</f>
        <v/>
      </c>
      <c r="AA24" s="53">
        <f>COUNTIF(AA12:AA21,6)</f>
        <v/>
      </c>
      <c r="AB24" s="53">
        <f>COUNTIF(AB12:AB21,6)</f>
        <v/>
      </c>
      <c r="AC24" s="53">
        <f>COUNTIF(AC12:AC21,6)</f>
        <v/>
      </c>
      <c r="AD24" s="53">
        <f>COUNTIF(AD12:AD21,6)</f>
        <v/>
      </c>
      <c r="AE24" s="53">
        <f>COUNTIF(AE12:AE21,6)</f>
        <v/>
      </c>
      <c r="AF24" s="53">
        <f>COUNTIF(AF12:AF21,6)</f>
        <v/>
      </c>
      <c r="AG24" s="53">
        <f>COUNTIF(AG12:AG21,6)</f>
        <v/>
      </c>
      <c r="AH24" s="54">
        <f>COUNTIF(AH12:AH21,6)</f>
        <v/>
      </c>
    </row>
    <row r="25" ht="13.5" customFormat="1" customHeight="1" s="10">
      <c r="B25" s="55" t="inlineStr">
        <is>
          <t>7:00～15:00</t>
        </is>
      </c>
      <c r="C25" s="88" t="n"/>
      <c r="D25" s="33">
        <f>COUNTIF(D12:D21,7)</f>
        <v/>
      </c>
      <c r="E25" s="18">
        <f>COUNTIF(E12:E21,7)</f>
        <v/>
      </c>
      <c r="F25" s="18">
        <f>COUNTIF(F12:F21,7)</f>
        <v/>
      </c>
      <c r="G25" s="18">
        <f>COUNTIF(G12:G21,7)</f>
        <v/>
      </c>
      <c r="H25" s="18">
        <f>COUNTIF(H12:H21,7)</f>
        <v/>
      </c>
      <c r="I25" s="18">
        <f>COUNTIF(I12:I21,7)</f>
        <v/>
      </c>
      <c r="J25" s="18">
        <f>COUNTIF(J12:J21,7)</f>
        <v/>
      </c>
      <c r="K25" s="18">
        <f>COUNTIF(K12:K21,7)</f>
        <v/>
      </c>
      <c r="L25" s="18">
        <f>COUNTIF(L12:L21,7)</f>
        <v/>
      </c>
      <c r="M25" s="18">
        <f>COUNTIF(M12:M21,7)</f>
        <v/>
      </c>
      <c r="N25" s="18">
        <f>COUNTIF(N12:N21,7)</f>
        <v/>
      </c>
      <c r="O25" s="18">
        <f>COUNTIF(O12:O21,7)</f>
        <v/>
      </c>
      <c r="P25" s="18">
        <f>COUNTIF(P12:P21,7)</f>
        <v/>
      </c>
      <c r="Q25" s="18">
        <f>COUNTIF(Q12:Q21,7)</f>
        <v/>
      </c>
      <c r="R25" s="18">
        <f>COUNTIF(R12:R21,7)</f>
        <v/>
      </c>
      <c r="S25" s="18">
        <f>COUNTIF(S12:S21,7)</f>
        <v/>
      </c>
      <c r="T25" s="18">
        <f>COUNTIF(T12:T21,7)</f>
        <v/>
      </c>
      <c r="U25" s="18">
        <f>COUNTIF(U12:U21,7)</f>
        <v/>
      </c>
      <c r="V25" s="18">
        <f>COUNTIF(V12:V21,7)</f>
        <v/>
      </c>
      <c r="W25" s="18">
        <f>COUNTIF(W12:W21,7)</f>
        <v/>
      </c>
      <c r="X25" s="18">
        <f>COUNTIF(X12:X21,7)</f>
        <v/>
      </c>
      <c r="Y25" s="18">
        <f>COUNTIF(Y12:Y21,7)</f>
        <v/>
      </c>
      <c r="Z25" s="18">
        <f>COUNTIF(Z12:Z21,7)</f>
        <v/>
      </c>
      <c r="AA25" s="18">
        <f>COUNTIF(AA12:AA21,7)</f>
        <v/>
      </c>
      <c r="AB25" s="18">
        <f>COUNTIF(AB12:AB21,7)</f>
        <v/>
      </c>
      <c r="AC25" s="18">
        <f>COUNTIF(AC12:AC21,7)</f>
        <v/>
      </c>
      <c r="AD25" s="18">
        <f>COUNTIF(AD12:AD21,7)</f>
        <v/>
      </c>
      <c r="AE25" s="18">
        <f>COUNTIF(AE12:AE21,7)</f>
        <v/>
      </c>
      <c r="AF25" s="18">
        <f>COUNTIF(AF12:AF21,7)</f>
        <v/>
      </c>
      <c r="AG25" s="18">
        <f>COUNTIF(AG12:AG21,7)</f>
        <v/>
      </c>
      <c r="AH25" s="43">
        <f>COUNTIF(AH12:AH21,7)</f>
        <v/>
      </c>
      <c r="BD25" s="12" t="n"/>
      <c r="BE25" s="12" t="n"/>
    </row>
    <row r="26" ht="14.25" customFormat="1" customHeight="1" s="10">
      <c r="B26" s="55" t="inlineStr">
        <is>
          <t>8:00～16:00</t>
        </is>
      </c>
      <c r="C26" s="88" t="n"/>
      <c r="D26" s="33">
        <f>COUNTIF(D12:D21,8)</f>
        <v/>
      </c>
      <c r="E26" s="18">
        <f>COUNTIF(E12:E21,8)</f>
        <v/>
      </c>
      <c r="F26" s="18">
        <f>COUNTIF(F12:F21,8)</f>
        <v/>
      </c>
      <c r="G26" s="18">
        <f>COUNTIF(G12:G21,8)</f>
        <v/>
      </c>
      <c r="H26" s="18">
        <f>COUNTIF(H12:H21,8)</f>
        <v/>
      </c>
      <c r="I26" s="18">
        <f>COUNTIF(I12:I21,8)</f>
        <v/>
      </c>
      <c r="J26" s="18">
        <f>COUNTIF(J12:J21,8)</f>
        <v/>
      </c>
      <c r="K26" s="18">
        <f>COUNTIF(K12:K21,8)</f>
        <v/>
      </c>
      <c r="L26" s="18">
        <f>COUNTIF(L12:L21,8)</f>
        <v/>
      </c>
      <c r="M26" s="18">
        <f>COUNTIF(M12:M21,8)</f>
        <v/>
      </c>
      <c r="N26" s="18">
        <f>COUNTIF(N12:N21,8)</f>
        <v/>
      </c>
      <c r="O26" s="18">
        <f>COUNTIF(O12:O21,8)</f>
        <v/>
      </c>
      <c r="P26" s="18">
        <f>COUNTIF(P12:P21,8)</f>
        <v/>
      </c>
      <c r="Q26" s="18">
        <f>COUNTIF(Q12:Q21,8)</f>
        <v/>
      </c>
      <c r="R26" s="18">
        <f>COUNTIF(R12:R21,8)</f>
        <v/>
      </c>
      <c r="S26" s="18">
        <f>COUNTIF(S12:S21,8)</f>
        <v/>
      </c>
      <c r="T26" s="18">
        <f>COUNTIF(T12:T21,8)</f>
        <v/>
      </c>
      <c r="U26" s="18">
        <f>COUNTIF(U12:U21,8)</f>
        <v/>
      </c>
      <c r="V26" s="18">
        <f>COUNTIF(V12:V21,8)</f>
        <v/>
      </c>
      <c r="W26" s="18">
        <f>COUNTIF(W12:W21,8)</f>
        <v/>
      </c>
      <c r="X26" s="18">
        <f>COUNTIF(X12:X21,8)</f>
        <v/>
      </c>
      <c r="Y26" s="18">
        <f>COUNTIF(Y12:Y21,8)</f>
        <v/>
      </c>
      <c r="Z26" s="18">
        <f>COUNTIF(Z12:Z21,8)</f>
        <v/>
      </c>
      <c r="AA26" s="18">
        <f>COUNTIF(AA12:AA21,8)</f>
        <v/>
      </c>
      <c r="AB26" s="18">
        <f>COUNTIF(AB12:AB21,8)</f>
        <v/>
      </c>
      <c r="AC26" s="18">
        <f>COUNTIF(AC12:AC21,8)</f>
        <v/>
      </c>
      <c r="AD26" s="18">
        <f>COUNTIF(AD12:AD21,8)</f>
        <v/>
      </c>
      <c r="AE26" s="18">
        <f>COUNTIF(AE12:AE21,8)</f>
        <v/>
      </c>
      <c r="AF26" s="18">
        <f>COUNTIF(AF12:AF21,8)</f>
        <v/>
      </c>
      <c r="AG26" s="18">
        <f>COUNTIF(AG12:AG21,8)</f>
        <v/>
      </c>
      <c r="AH26" s="43">
        <f>COUNTIF(AH12:AH21,8)</f>
        <v/>
      </c>
      <c r="BD26" s="12" t="n"/>
      <c r="BE26" s="12" t="n"/>
    </row>
    <row r="27" ht="14.25" customHeight="1" thickBot="1">
      <c r="A27" s="16" t="n"/>
      <c r="B27" s="56" t="inlineStr">
        <is>
          <t>9:00～17:00</t>
        </is>
      </c>
      <c r="C27" s="89" t="n"/>
      <c r="D27" s="34">
        <f>COUNTIF(D12:D21,9)</f>
        <v/>
      </c>
      <c r="E27" s="35">
        <f>COUNTIF(E12:E21,9)</f>
        <v/>
      </c>
      <c r="F27" s="35">
        <f>COUNTIF(F12:F21,9)</f>
        <v/>
      </c>
      <c r="G27" s="35">
        <f>COUNTIF(G12:G21,9)</f>
        <v/>
      </c>
      <c r="H27" s="35">
        <f>COUNTIF(H12:H21,9)</f>
        <v/>
      </c>
      <c r="I27" s="35">
        <f>COUNTIF(I12:I21,9)</f>
        <v/>
      </c>
      <c r="J27" s="35">
        <f>COUNTIF(J12:J21,9)</f>
        <v/>
      </c>
      <c r="K27" s="35">
        <f>COUNTIF(K12:K21,9)</f>
        <v/>
      </c>
      <c r="L27" s="35">
        <f>COUNTIF(L12:L21,9)</f>
        <v/>
      </c>
      <c r="M27" s="35">
        <f>COUNTIF(M12:M21,9)</f>
        <v/>
      </c>
      <c r="N27" s="35">
        <f>COUNTIF(N12:N21,9)</f>
        <v/>
      </c>
      <c r="O27" s="35">
        <f>COUNTIF(O12:O21,9)</f>
        <v/>
      </c>
      <c r="P27" s="35">
        <f>COUNTIF(P12:P21,9)</f>
        <v/>
      </c>
      <c r="Q27" s="35">
        <f>COUNTIF(Q12:Q21,9)</f>
        <v/>
      </c>
      <c r="R27" s="35">
        <f>COUNTIF(R12:R21,9)</f>
        <v/>
      </c>
      <c r="S27" s="35">
        <f>COUNTIF(S12:S21,9)</f>
        <v/>
      </c>
      <c r="T27" s="35">
        <f>COUNTIF(T12:T21,9)</f>
        <v/>
      </c>
      <c r="U27" s="35">
        <f>COUNTIF(U12:U21,9)</f>
        <v/>
      </c>
      <c r="V27" s="35">
        <f>COUNTIF(V12:V21,9)</f>
        <v/>
      </c>
      <c r="W27" s="35">
        <f>COUNTIF(W12:W21,9)</f>
        <v/>
      </c>
      <c r="X27" s="35">
        <f>COUNTIF(X12:X21,9)</f>
        <v/>
      </c>
      <c r="Y27" s="35">
        <f>COUNTIF(Y12:Y21,9)</f>
        <v/>
      </c>
      <c r="Z27" s="35">
        <f>COUNTIF(Z12:Z21,9)</f>
        <v/>
      </c>
      <c r="AA27" s="35">
        <f>COUNTIF(AA12:AA21,9)</f>
        <v/>
      </c>
      <c r="AB27" s="35">
        <f>COUNTIF(AB12:AB21,9)</f>
        <v/>
      </c>
      <c r="AC27" s="35">
        <f>COUNTIF(AC12:AC21,9)</f>
        <v/>
      </c>
      <c r="AD27" s="35">
        <f>COUNTIF(AD12:AD21,9)</f>
        <v/>
      </c>
      <c r="AE27" s="35">
        <f>COUNTIF(AE12:AE21,9)</f>
        <v/>
      </c>
      <c r="AF27" s="35">
        <f>COUNTIF(AF12:AF21,9)</f>
        <v/>
      </c>
      <c r="AG27" s="35">
        <f>COUNTIF(AG12:AG21,9)</f>
        <v/>
      </c>
      <c r="AH27" s="44">
        <f>COUNTIF(AH12:AH21,9)</f>
        <v/>
      </c>
      <c r="AI27" s="8" t="n"/>
      <c r="AJ27" s="8" t="n"/>
      <c r="AK27" s="8" t="n"/>
      <c r="AL27" s="8" t="n"/>
    </row>
    <row r="28" ht="22.5" customHeight="1" thickBot="1">
      <c r="B28" s="94" t="inlineStr">
        <is>
          <t>出勤人数</t>
        </is>
      </c>
      <c r="C28" s="94" t="n"/>
      <c r="D28" s="93">
        <f>SUM(D24:D27)</f>
        <v/>
      </c>
      <c r="E28" s="32">
        <f>SUM(E24:E27)</f>
        <v/>
      </c>
      <c r="F28" s="32">
        <f>SUM(F24:F27)</f>
        <v/>
      </c>
      <c r="G28" s="32">
        <f>SUM(G24:G27)</f>
        <v/>
      </c>
      <c r="H28" s="32">
        <f>SUM(H24:H27)</f>
        <v/>
      </c>
      <c r="I28" s="32">
        <f>SUM(I24:I27)</f>
        <v/>
      </c>
      <c r="J28" s="32">
        <f>SUM(J24:J27)</f>
        <v/>
      </c>
      <c r="K28" s="32">
        <f>SUM(K24:K27)</f>
        <v/>
      </c>
      <c r="L28" s="32">
        <f>SUM(L24:L27)</f>
        <v/>
      </c>
      <c r="M28" s="32">
        <f>SUM(M24:M27)</f>
        <v/>
      </c>
      <c r="N28" s="32">
        <f>SUM(N24:N27)</f>
        <v/>
      </c>
      <c r="O28" s="32">
        <f>SUM(O24:O27)</f>
        <v/>
      </c>
      <c r="P28" s="32">
        <f>SUM(P24:P27)</f>
        <v/>
      </c>
      <c r="Q28" s="32">
        <f>SUM(Q24:Q27)</f>
        <v/>
      </c>
      <c r="R28" s="32">
        <f>SUM(R24:R27)</f>
        <v/>
      </c>
      <c r="S28" s="32">
        <f>SUM(S24:S27)</f>
        <v/>
      </c>
      <c r="T28" s="32">
        <f>SUM(T24:T27)</f>
        <v/>
      </c>
      <c r="U28" s="32">
        <f>SUM(U24:U27)</f>
        <v/>
      </c>
      <c r="V28" s="32">
        <f>SUM(V24:V27)</f>
        <v/>
      </c>
      <c r="W28" s="32">
        <f>SUM(W24:W27)</f>
        <v/>
      </c>
      <c r="X28" s="32">
        <f>SUM(X24:X27)</f>
        <v/>
      </c>
      <c r="Y28" s="32">
        <f>SUM(Y24:Y27)</f>
        <v/>
      </c>
      <c r="Z28" s="32">
        <f>SUM(Z24:Z27)</f>
        <v/>
      </c>
      <c r="AA28" s="32">
        <f>SUM(AA24:AA27)</f>
        <v/>
      </c>
      <c r="AB28" s="32">
        <f>SUM(AB24:AB27)</f>
        <v/>
      </c>
      <c r="AC28" s="32">
        <f>SUM(AC24:AC27)</f>
        <v/>
      </c>
      <c r="AD28" s="32">
        <f>SUM(AD24:AD27)</f>
        <v/>
      </c>
      <c r="AE28" s="32">
        <f>SUM(AE24:AE27)</f>
        <v/>
      </c>
      <c r="AF28" s="32">
        <f>SUM(AF24:AF27)</f>
        <v/>
      </c>
      <c r="AG28" s="41">
        <f>SUM(AG24:AG27)</f>
        <v/>
      </c>
      <c r="AH28" s="95">
        <f>SUM(AH24:AH27)</f>
        <v/>
      </c>
      <c r="AI28" s="9" t="n"/>
      <c r="AJ28" s="9" t="n"/>
      <c r="AK28" s="9" t="n"/>
      <c r="AL28" s="9" t="n"/>
    </row>
    <row r="29" ht="22.5" customHeight="1" thickBot="1">
      <c r="B29" s="22" t="inlineStr">
        <is>
          <t>COLD KITCHEN 
 TTL WORK HOUR</t>
        </is>
      </c>
      <c r="C29" s="22" t="n"/>
      <c r="D29" s="23">
        <f>D28*7</f>
        <v/>
      </c>
      <c r="E29" s="24">
        <f>E28*7</f>
        <v/>
      </c>
      <c r="F29" s="24">
        <f>F28*7</f>
        <v/>
      </c>
      <c r="G29" s="24">
        <f>G28*7</f>
        <v/>
      </c>
      <c r="H29" s="24">
        <f>H28*7</f>
        <v/>
      </c>
      <c r="I29" s="24">
        <f>I28*7</f>
        <v/>
      </c>
      <c r="J29" s="24">
        <f>J28*7</f>
        <v/>
      </c>
      <c r="K29" s="24">
        <f>K28*7</f>
        <v/>
      </c>
      <c r="L29" s="24">
        <f>L28*7</f>
        <v/>
      </c>
      <c r="M29" s="24">
        <f>M28*7</f>
        <v/>
      </c>
      <c r="N29" s="24">
        <f>N28*7</f>
        <v/>
      </c>
      <c r="O29" s="24">
        <f>O28*7</f>
        <v/>
      </c>
      <c r="P29" s="24">
        <f>P28*7</f>
        <v/>
      </c>
      <c r="Q29" s="24">
        <f>Q28*7</f>
        <v/>
      </c>
      <c r="R29" s="24">
        <f>R28*7</f>
        <v/>
      </c>
      <c r="S29" s="24">
        <f>S28*7</f>
        <v/>
      </c>
      <c r="T29" s="24">
        <f>T28*7</f>
        <v/>
      </c>
      <c r="U29" s="24">
        <f>U28*7</f>
        <v/>
      </c>
      <c r="V29" s="24">
        <f>V28*7</f>
        <v/>
      </c>
      <c r="W29" s="24">
        <f>W28*7</f>
        <v/>
      </c>
      <c r="X29" s="24">
        <f>X28*7</f>
        <v/>
      </c>
      <c r="Y29" s="24">
        <f>Y28*7</f>
        <v/>
      </c>
      <c r="Z29" s="24">
        <f>Z28*7</f>
        <v/>
      </c>
      <c r="AA29" s="24">
        <f>AA28*7</f>
        <v/>
      </c>
      <c r="AB29" s="24">
        <f>AB28*7</f>
        <v/>
      </c>
      <c r="AC29" s="24">
        <f>AC28*7</f>
        <v/>
      </c>
      <c r="AD29" s="24">
        <f>AD28*7</f>
        <v/>
      </c>
      <c r="AE29" s="24">
        <f>AE28*7</f>
        <v/>
      </c>
      <c r="AF29" s="24">
        <f>AF28*7</f>
        <v/>
      </c>
      <c r="AG29" s="24">
        <f>AG28*7</f>
        <v/>
      </c>
      <c r="AH29" s="42">
        <f>AH28*7</f>
        <v/>
      </c>
    </row>
    <row r="30" ht="24" customFormat="1" customHeight="1" s="40">
      <c r="A30" s="39" t="n"/>
      <c r="B30" s="7" t="n"/>
      <c r="C30" s="7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BD30" s="39" t="n"/>
      <c r="BE30" s="39" t="n"/>
    </row>
    <row r="31" ht="24" customFormat="1" customHeight="1" s="40" thickBot="1">
      <c r="A31" s="39" t="n"/>
      <c r="B31" s="6" t="inlineStr">
        <is>
          <t xml:space="preserve">                                            OFF／=休日（Day　off）　　C=代休（Compensaition　Day　off）　　V=有給（Vacation）　　R=リフﾚｯｼｭ休暇（Refresh  Day  ｏｆｆ)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194" t="inlineStr">
        <is>
          <t>P= Presentation</t>
        </is>
      </c>
      <c r="AE31" s="194" t="n"/>
      <c r="AF31" s="194" t="n"/>
      <c r="AG31" s="194" t="n"/>
      <c r="AH31" s="194" t="n"/>
      <c r="BD31" s="39" t="n"/>
      <c r="BE31" s="39" t="n"/>
    </row>
    <row r="32" ht="24" customFormat="1" customHeight="1" s="40">
      <c r="A32" s="39" t="n"/>
      <c r="B32" s="194" t="n"/>
      <c r="C32" s="194" t="n"/>
      <c r="D32" s="36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8" t="n"/>
      <c r="BD32" s="39" t="n"/>
      <c r="BE32" s="39" t="n"/>
    </row>
    <row r="33" ht="33.6" customFormat="1" customHeight="1" s="40">
      <c r="A33" s="39" t="n"/>
      <c r="D33" s="84" t="inlineStr">
        <is>
          <t>赤丸は休日出勤　小文字off  法定休日　オレンジ色Rev1,3/12</t>
        </is>
      </c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  <c r="AA33" s="85" t="n"/>
      <c r="AB33" s="85" t="n"/>
      <c r="AC33" s="85" t="n"/>
      <c r="AD33" s="85" t="n"/>
      <c r="AE33" s="85" t="n"/>
      <c r="AF33" s="85" t="n"/>
      <c r="AG33" s="85" t="n"/>
      <c r="AH33" s="86" t="n"/>
      <c r="BD33" s="39" t="n"/>
      <c r="BE33" s="39" t="n"/>
    </row>
    <row r="34" ht="14.25" customHeight="1">
      <c r="B34" s="40" t="n"/>
      <c r="C34" s="40" t="n"/>
      <c r="D34" s="84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  <c r="AA34" s="85" t="n"/>
      <c r="AB34" s="85" t="n"/>
      <c r="AC34" s="85" t="n"/>
      <c r="AD34" s="85" t="n"/>
      <c r="AE34" s="85" t="n"/>
      <c r="AF34" s="85" t="n"/>
      <c r="AG34" s="85" t="n"/>
      <c r="AH34" s="86" t="n"/>
    </row>
    <row r="35" ht="14.25" customHeight="1">
      <c r="B35" s="40" t="n"/>
      <c r="C35" s="40" t="n"/>
      <c r="D35" s="84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  <c r="AA35" s="85" t="n"/>
      <c r="AB35" s="85" t="n"/>
      <c r="AC35" s="85" t="n"/>
      <c r="AD35" s="85" t="n"/>
      <c r="AE35" s="85" t="n"/>
      <c r="AF35" s="85" t="n"/>
      <c r="AG35" s="85" t="n"/>
      <c r="AH35" s="86" t="n"/>
    </row>
    <row r="36" ht="14.25" customHeight="1">
      <c r="B36" s="40" t="n"/>
      <c r="C36" s="40" t="n"/>
      <c r="D36" s="84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  <c r="AA36" s="85" t="n"/>
      <c r="AB36" s="85" t="n"/>
      <c r="AC36" s="85" t="n"/>
      <c r="AD36" s="85" t="n"/>
      <c r="AE36" s="85" t="n"/>
      <c r="AF36" s="85" t="n"/>
      <c r="AG36" s="85" t="n"/>
      <c r="AH36" s="86" t="n"/>
    </row>
    <row r="41">
      <c r="AG41" s="49" t="n"/>
    </row>
    <row r="42">
      <c r="AG42" s="47" t="n"/>
    </row>
  </sheetData>
  <mergeCells count="14">
    <mergeCell ref="AN8:AO8"/>
    <mergeCell ref="H3:R3"/>
    <mergeCell ref="AN9:AR9"/>
    <mergeCell ref="AA3:AB4"/>
    <mergeCell ref="AJ7:AJ8"/>
    <mergeCell ref="AF3:AH3"/>
    <mergeCell ref="AI7:AI8"/>
    <mergeCell ref="AL7:AL8"/>
    <mergeCell ref="AC3:AE4"/>
    <mergeCell ref="C6:C8"/>
    <mergeCell ref="AF4:AH4"/>
    <mergeCell ref="AK7:AK8"/>
    <mergeCell ref="B6:B8"/>
    <mergeCell ref="X3:Z4"/>
  </mergeCells>
  <printOptions horizontalCentered="1" verticalCentered="1"/>
  <pageMargins left="0" right="0" top="0" bottom="0" header="0.3149606299212598" footer="0.3149606299212598"/>
  <pageSetup orientation="landscape" paperSize="9" scale="62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J21"/>
  <sheetViews>
    <sheetView view="pageBreakPreview" topLeftCell="A2" zoomScale="85" zoomScaleNormal="100" zoomScaleSheetLayoutView="85" workbookViewId="0">
      <selection activeCell="J2" sqref="J2:J3"/>
    </sheetView>
  </sheetViews>
  <sheetFormatPr baseColWidth="8" defaultColWidth="8.85546875" defaultRowHeight="15"/>
  <cols>
    <col width="25.7109375" customWidth="1" style="60" min="1" max="1"/>
    <col width="11.140625" customWidth="1" style="60" min="2" max="2"/>
    <col width="18.85546875" customWidth="1" style="217" min="3" max="3"/>
    <col width="25.28515625" customWidth="1" style="217" min="4" max="4"/>
    <col width="36.28515625" customWidth="1" style="217" min="5" max="5"/>
    <col width="15.28515625" customWidth="1" style="217" min="6" max="7"/>
    <col width="35.28515625" customWidth="1" style="217" min="8" max="8"/>
    <col width="16" customWidth="1" style="217" min="9" max="9"/>
    <col width="18.7109375" customWidth="1" style="217" min="10" max="10"/>
    <col width="8.85546875" customWidth="1" style="217" min="11" max="31"/>
    <col width="8.85546875" customWidth="1" style="217" min="32" max="16384"/>
  </cols>
  <sheetData>
    <row r="1" ht="18" customHeight="1">
      <c r="A1" s="159" t="n"/>
      <c r="B1" s="159" t="n"/>
      <c r="C1" s="160" t="n"/>
      <c r="D1" s="160" t="n"/>
      <c r="E1" s="160" t="n"/>
      <c r="F1" s="160" t="n"/>
      <c r="G1" s="160" t="n"/>
      <c r="H1" s="160" t="n"/>
      <c r="I1" s="160" t="n"/>
      <c r="J1" s="160" t="n"/>
    </row>
    <row r="2" ht="30.95" customHeight="1">
      <c r="A2" s="159" t="n"/>
      <c r="B2" s="159" t="n"/>
      <c r="C2" s="161" t="n"/>
      <c r="D2" s="216" t="inlineStr">
        <is>
          <t>Working Hours Report - Bakery</t>
        </is>
      </c>
      <c r="G2" s="161" t="n"/>
      <c r="H2" s="221" t="inlineStr">
        <is>
          <t>Date 日付 :</t>
        </is>
      </c>
      <c r="J2" s="220" t="n">
        <v>45535</v>
      </c>
    </row>
    <row r="3" ht="32.1" customHeight="1">
      <c r="A3" s="216" t="n"/>
      <c r="B3" s="216" t="n"/>
      <c r="C3" s="160" t="n"/>
      <c r="G3" s="160" t="n"/>
      <c r="H3" s="192" t="n"/>
      <c r="I3" s="192" t="n"/>
      <c r="J3" s="192" t="n"/>
    </row>
    <row r="4" ht="18" customHeight="1">
      <c r="A4" s="159" t="n"/>
      <c r="B4" s="159" t="n"/>
      <c r="C4" s="160" t="n"/>
      <c r="D4" s="160" t="n"/>
      <c r="E4" s="160" t="n"/>
      <c r="F4" s="160" t="n"/>
      <c r="G4" s="160" t="n"/>
      <c r="H4" s="160" t="n"/>
      <c r="I4" s="160" t="n"/>
      <c r="J4" s="160" t="n"/>
    </row>
    <row r="5" ht="57.75" customFormat="1" customHeight="1" s="62" thickBot="1">
      <c r="A5" s="182" t="inlineStr">
        <is>
          <t>Name
名前</t>
        </is>
      </c>
      <c r="B5" s="183" t="inlineStr">
        <is>
          <t>ID</t>
        </is>
      </c>
      <c r="C5" s="184" t="inlineStr">
        <is>
          <t>STD Schedule
基本勤務時間</t>
        </is>
      </c>
      <c r="D5" s="184" t="inlineStr">
        <is>
          <t>Actual Schedule
実際勤務時間</t>
        </is>
      </c>
      <c r="E5" s="184" t="inlineStr">
        <is>
          <t>Reason
理由</t>
        </is>
      </c>
      <c r="F5" s="184" t="inlineStr">
        <is>
          <t>調整時間</t>
        </is>
      </c>
      <c r="G5" s="184" t="inlineStr">
        <is>
          <t>休憩</t>
        </is>
      </c>
      <c r="H5" s="222" t="inlineStr">
        <is>
          <t>エキストラワーク（時間も記入）</t>
        </is>
      </c>
      <c r="I5" s="223" t="n"/>
      <c r="J5" s="184" t="inlineStr">
        <is>
          <t>Approve                        承認</t>
        </is>
      </c>
    </row>
    <row r="6" ht="36" customHeight="1" thickTop="1">
      <c r="A6" s="176" t="inlineStr">
        <is>
          <t>NITTA</t>
        </is>
      </c>
      <c r="B6" s="176" t="n">
        <v>627</v>
      </c>
      <c r="C6" s="176">
        <f>INDEX(Original!$D$7:$AH$17,MATCH(A6,Original!$B$7:$B$16,FALSE),MATCH($J$2,Original!$D$6:$AH$6,FALSE))</f>
        <v/>
      </c>
      <c r="D6" s="180" t="inlineStr">
        <is>
          <t xml:space="preserve"> ～</t>
        </is>
      </c>
      <c r="E6" s="181" t="n"/>
      <c r="F6" s="167" t="inlineStr">
        <is>
          <t xml:space="preserve">    ｈ</t>
        </is>
      </c>
      <c r="G6" s="219" t="inlineStr">
        <is>
          <t>有 / 無</t>
        </is>
      </c>
      <c r="H6" s="219" t="n"/>
      <c r="I6" s="196" t="n"/>
      <c r="J6" s="181" t="n"/>
    </row>
    <row r="7" ht="36" customHeight="1">
      <c r="A7" s="175" t="inlineStr">
        <is>
          <t>KOBAYASHI</t>
        </is>
      </c>
      <c r="B7" s="175" t="n">
        <v>113</v>
      </c>
      <c r="C7" s="175">
        <f>INDEX(Original!$D$7:$AH$17,MATCH(A7,Original!$B$7:$B$16,FALSE),MATCH($J$2,Original!$D$6:$AH$6,FALSE))</f>
        <v/>
      </c>
      <c r="D7" s="178" t="inlineStr">
        <is>
          <t xml:space="preserve"> ～</t>
        </is>
      </c>
      <c r="E7" s="163" t="n"/>
      <c r="F7" s="164" t="inlineStr">
        <is>
          <t xml:space="preserve">    ｈ</t>
        </is>
      </c>
      <c r="G7" s="215" t="inlineStr">
        <is>
          <t>有 / 無</t>
        </is>
      </c>
      <c r="H7" s="215" t="n"/>
      <c r="I7" s="199" t="n"/>
      <c r="J7" s="163" t="n"/>
    </row>
    <row r="8" ht="36" customHeight="1">
      <c r="A8" s="176" t="inlineStr">
        <is>
          <t>ISHII</t>
        </is>
      </c>
      <c r="B8" s="176" t="n">
        <v>826</v>
      </c>
      <c r="C8" s="176">
        <f>INDEX(Original!$D$7:$AH$21,MATCH(A8,Original!$B$7:$B$21,FALSE),MATCH($J$2,Original!$D$6:$AH$6,FALSE))</f>
        <v/>
      </c>
      <c r="D8" s="219" t="inlineStr">
        <is>
          <t xml:space="preserve"> ～</t>
        </is>
      </c>
      <c r="E8" s="166" t="n"/>
      <c r="F8" s="167" t="inlineStr">
        <is>
          <t xml:space="preserve">    ｈ</t>
        </is>
      </c>
      <c r="G8" s="219" t="inlineStr">
        <is>
          <t>有 / 無</t>
        </is>
      </c>
      <c r="H8" s="219" t="n"/>
      <c r="I8" s="196" t="n"/>
      <c r="J8" s="166" t="n"/>
    </row>
    <row r="9" ht="36" customHeight="1">
      <c r="A9" s="175" t="inlineStr">
        <is>
          <t>KAJIWARA</t>
        </is>
      </c>
      <c r="B9" s="175" t="n">
        <v>638</v>
      </c>
      <c r="C9" s="175">
        <f>INDEX(Original!$D$7:$AH$21,MATCH(A9,Original!$B$7:$B$21,FALSE),MATCH($J$2,Original!$D$6:$AH$6,FALSE))</f>
        <v/>
      </c>
      <c r="D9" s="215" t="inlineStr">
        <is>
          <t xml:space="preserve"> ～</t>
        </is>
      </c>
      <c r="E9" s="169" t="n"/>
      <c r="F9" s="164" t="inlineStr">
        <is>
          <t xml:space="preserve">    ｈ</t>
        </is>
      </c>
      <c r="G9" s="215" t="inlineStr">
        <is>
          <t>有 / 無</t>
        </is>
      </c>
      <c r="H9" s="215" t="n"/>
      <c r="I9" s="199" t="n"/>
      <c r="J9" s="169" t="n"/>
    </row>
    <row r="10" ht="36" customHeight="1">
      <c r="A10" s="177" t="inlineStr">
        <is>
          <t>SHIOTANI</t>
        </is>
      </c>
      <c r="B10" s="176" t="n">
        <v>840</v>
      </c>
      <c r="C10" s="175">
        <f>INDEX(Original!$D$7:$AH$21,MATCH(A10,Original!$B$7:$B$21,FALSE),MATCH($J$2,Original!$D$6:$AH$6,FALSE))</f>
        <v/>
      </c>
      <c r="D10" s="219" t="inlineStr">
        <is>
          <t xml:space="preserve"> ～</t>
        </is>
      </c>
      <c r="E10" s="166" t="n"/>
      <c r="F10" s="167" t="inlineStr">
        <is>
          <t xml:space="preserve">    ｈ</t>
        </is>
      </c>
      <c r="G10" s="219" t="inlineStr">
        <is>
          <t>有 / 無</t>
        </is>
      </c>
      <c r="H10" s="219" t="n"/>
      <c r="I10" s="196" t="n"/>
      <c r="J10" s="166" t="n"/>
    </row>
    <row r="11" ht="36" customHeight="1">
      <c r="A11" s="177" t="inlineStr">
        <is>
          <t>YAMAKURA</t>
        </is>
      </c>
      <c r="B11" s="175" t="n">
        <v>861</v>
      </c>
      <c r="C11" s="175">
        <f>INDEX(Original!$D$7:$AH$17,MATCH(A11,Original!$B$7:$B$16,FALSE),MATCH($J$2,Original!$D$6:$AH$6,FALSE))</f>
        <v/>
      </c>
      <c r="D11" s="215" t="inlineStr">
        <is>
          <t xml:space="preserve"> ～</t>
        </is>
      </c>
      <c r="E11" s="169" t="n"/>
      <c r="F11" s="164" t="inlineStr">
        <is>
          <t xml:space="preserve">    ｈ</t>
        </is>
      </c>
      <c r="G11" s="215" t="inlineStr">
        <is>
          <t>有 / 無</t>
        </is>
      </c>
      <c r="H11" s="215" t="n"/>
      <c r="I11" s="199" t="n"/>
      <c r="J11" s="169" t="n"/>
    </row>
    <row r="12" ht="36" customHeight="1">
      <c r="A12" s="177" t="inlineStr">
        <is>
          <t>IGUCHI</t>
        </is>
      </c>
      <c r="B12" s="177" t="n">
        <v>934</v>
      </c>
      <c r="C12" s="177">
        <f>INDEX(Original!$D$7:$AH$17,MATCH(A12,Original!$B$7:$B$16,FALSE),MATCH($J$2,Original!$D$6:$AH$6,FALSE))</f>
        <v/>
      </c>
      <c r="D12" s="218" t="inlineStr">
        <is>
          <t xml:space="preserve"> ～</t>
        </is>
      </c>
      <c r="E12" s="177" t="n"/>
      <c r="F12" s="171" t="inlineStr">
        <is>
          <t xml:space="preserve">    ｈ</t>
        </is>
      </c>
      <c r="G12" s="218" t="inlineStr">
        <is>
          <t>有 / 無</t>
        </is>
      </c>
      <c r="H12" s="218" t="n"/>
      <c r="I12" s="203" t="n"/>
      <c r="J12" s="170" t="n"/>
    </row>
    <row r="13" ht="36" customHeight="1">
      <c r="A13" s="177" t="inlineStr">
        <is>
          <t>TAKEDA</t>
        </is>
      </c>
      <c r="B13" s="177" t="n">
        <v>958</v>
      </c>
      <c r="C13" s="176">
        <f>INDEX(Original!$D$7:$AH$17,MATCH(A13,Original!$B$7:$B$16,FALSE),MATCH($J$2,Original!$D$6:$AH$6,FALSE))</f>
        <v/>
      </c>
      <c r="D13" s="215" t="inlineStr">
        <is>
          <t xml:space="preserve"> ～</t>
        </is>
      </c>
      <c r="E13" s="169" t="n"/>
      <c r="F13" s="164" t="inlineStr">
        <is>
          <t xml:space="preserve">    ｈ</t>
        </is>
      </c>
      <c r="G13" s="215" t="inlineStr">
        <is>
          <t>有 / 無</t>
        </is>
      </c>
      <c r="H13" s="215" t="n"/>
      <c r="I13" s="199" t="n"/>
      <c r="J13" s="169" t="n"/>
    </row>
    <row r="14" ht="36" customHeight="1" thickBot="1">
      <c r="A14" s="185" t="inlineStr">
        <is>
          <t>KITAZAKI</t>
        </is>
      </c>
      <c r="B14" s="185" t="n">
        <v>973</v>
      </c>
      <c r="C14" s="185">
        <f>INDEX(Original!$D$7:$AH$21,MATCH(A14,Original!$B$7:$B$21,FALSE),MATCH($J$2,Original!$D$6:$AH$6,FALSE))</f>
        <v/>
      </c>
      <c r="D14" s="224" t="inlineStr">
        <is>
          <t xml:space="preserve"> ～</t>
        </is>
      </c>
      <c r="E14" s="187" t="n"/>
      <c r="F14" s="188" t="inlineStr">
        <is>
          <t xml:space="preserve">    ｈ</t>
        </is>
      </c>
      <c r="G14" s="224" t="inlineStr">
        <is>
          <t>有 / 無</t>
        </is>
      </c>
      <c r="H14" s="224" t="n"/>
      <c r="I14" s="223" t="n"/>
      <c r="J14" s="187" t="n"/>
    </row>
    <row r="15" ht="36" customHeight="1" thickTop="1">
      <c r="A15" s="177" t="inlineStr">
        <is>
          <t>USHINOHAMA</t>
        </is>
      </c>
      <c r="B15" s="177" t="n">
        <v>688</v>
      </c>
      <c r="C15" s="177">
        <f>INDEX(Original!$D$7:$AH$21,MATCH(A15,Original!$B$7:$B$21,FALSE),MATCH($J$2,Original!$D$6:$AH$6,FALSE))</f>
        <v/>
      </c>
      <c r="D15" s="218" t="inlineStr">
        <is>
          <t xml:space="preserve"> ～</t>
        </is>
      </c>
      <c r="E15" s="170" t="n"/>
      <c r="F15" s="171" t="inlineStr">
        <is>
          <t xml:space="preserve">    ｈ</t>
        </is>
      </c>
      <c r="G15" s="218" t="inlineStr">
        <is>
          <t>有 / 無</t>
        </is>
      </c>
      <c r="H15" s="218" t="n"/>
      <c r="I15" s="203" t="n"/>
      <c r="J15" s="170" t="n"/>
    </row>
    <row r="16" ht="36" customHeight="1">
      <c r="A16" s="177" t="inlineStr">
        <is>
          <t>WAKAUME</t>
        </is>
      </c>
      <c r="B16" s="175" t="n">
        <v>814</v>
      </c>
      <c r="C16" s="175">
        <f>INDEX(Original!$D$7:$AH$21,MATCH(A16,Original!$B$7:$B$21,FALSE),MATCH($J$2,Original!$D$6:$AH$6,FALSE))</f>
        <v/>
      </c>
      <c r="D16" s="215" t="inlineStr">
        <is>
          <t xml:space="preserve"> ～</t>
        </is>
      </c>
      <c r="E16" s="169" t="n"/>
      <c r="F16" s="164" t="inlineStr">
        <is>
          <t xml:space="preserve">    ｈ</t>
        </is>
      </c>
      <c r="G16" s="215" t="inlineStr">
        <is>
          <t>有 / 無</t>
        </is>
      </c>
      <c r="H16" s="215" t="n"/>
      <c r="I16" s="199" t="n"/>
      <c r="J16" s="169" t="n"/>
    </row>
    <row r="17" ht="36" customHeight="1">
      <c r="A17" s="177" t="inlineStr">
        <is>
          <t>IIJIMA</t>
        </is>
      </c>
      <c r="B17" s="175" t="n">
        <v>906</v>
      </c>
      <c r="C17" s="175">
        <f>INDEX(Original!$D$7:$AH$21,MATCH(A17,Original!$B$7:$B$21,FALSE),MATCH($J$2,Original!$D$6:$AH$6,FALSE))</f>
        <v/>
      </c>
      <c r="D17" s="215" t="inlineStr">
        <is>
          <t xml:space="preserve"> ～</t>
        </is>
      </c>
      <c r="E17" s="169" t="n"/>
      <c r="F17" s="164" t="inlineStr">
        <is>
          <t xml:space="preserve">    ｈ</t>
        </is>
      </c>
      <c r="G17" s="215" t="inlineStr">
        <is>
          <t>有 / 無</t>
        </is>
      </c>
      <c r="H17" s="215" t="n"/>
      <c r="I17" s="199" t="n"/>
      <c r="J17" s="169" t="n"/>
    </row>
    <row r="18" ht="36" customHeight="1">
      <c r="A18" s="177" t="inlineStr">
        <is>
          <t>MY PHI</t>
        </is>
      </c>
      <c r="B18" s="175" t="n">
        <v>951</v>
      </c>
      <c r="C18" s="175">
        <f>INDEX(Original!$D$7:$AH$21,MATCH(A18,Original!$B$7:$B$21,FALSE),MATCH($J$2,Original!$D$6:$AH$6,FALSE))</f>
        <v/>
      </c>
      <c r="D18" s="215" t="inlineStr">
        <is>
          <t xml:space="preserve"> ～</t>
        </is>
      </c>
      <c r="E18" s="169" t="n"/>
      <c r="F18" s="164" t="inlineStr">
        <is>
          <t xml:space="preserve">    ｈ</t>
        </is>
      </c>
      <c r="G18" s="215" t="inlineStr">
        <is>
          <t>有 / 無</t>
        </is>
      </c>
      <c r="H18" s="215" t="n"/>
      <c r="I18" s="199" t="n"/>
      <c r="J18" s="163" t="n"/>
    </row>
    <row r="19" ht="36" customHeight="1">
      <c r="A19" s="178" t="n"/>
      <c r="B19" s="178" t="n"/>
      <c r="C19" s="179" t="n"/>
      <c r="D19" s="179" t="n"/>
      <c r="E19" s="163" t="n"/>
      <c r="F19" s="163" t="n"/>
      <c r="G19" s="163" t="n"/>
      <c r="H19" s="173" t="n"/>
      <c r="I19" s="174" t="n"/>
      <c r="J19" s="163" t="n"/>
    </row>
    <row r="20" ht="36" customHeight="1">
      <c r="A20" s="178" t="n"/>
      <c r="B20" s="178" t="n"/>
      <c r="C20" s="179" t="n"/>
      <c r="D20" s="179" t="n"/>
      <c r="E20" s="163" t="n"/>
      <c r="F20" s="163" t="n"/>
      <c r="G20" s="163" t="n"/>
      <c r="H20" s="173" t="n"/>
      <c r="I20" s="174" t="n"/>
      <c r="J20" s="163" t="n"/>
    </row>
    <row r="21" ht="36" customHeight="1">
      <c r="A21" s="178" t="n"/>
      <c r="B21" s="178" t="n"/>
      <c r="C21" s="179" t="n"/>
      <c r="D21" s="179" t="n"/>
      <c r="E21" s="163" t="n"/>
      <c r="F21" s="163" t="n"/>
      <c r="G21" s="163" t="n"/>
      <c r="H21" s="173" t="n"/>
      <c r="I21" s="174" t="n"/>
      <c r="J21" s="163" t="n"/>
    </row>
  </sheetData>
  <mergeCells count="17">
    <mergeCell ref="H11:I11"/>
    <mergeCell ref="D2:F3"/>
    <mergeCell ref="H12:I12"/>
    <mergeCell ref="H6:I6"/>
    <mergeCell ref="H16:I16"/>
    <mergeCell ref="H10:I10"/>
    <mergeCell ref="H7:I7"/>
    <mergeCell ref="J2:J3"/>
    <mergeCell ref="H18:I18"/>
    <mergeCell ref="H15:I15"/>
    <mergeCell ref="H2:I3"/>
    <mergeCell ref="H5:I5"/>
    <mergeCell ref="H8:I8"/>
    <mergeCell ref="H13:I13"/>
    <mergeCell ref="H14:I14"/>
    <mergeCell ref="H9:I9"/>
    <mergeCell ref="H17:I17"/>
  </mergeCells>
  <printOptions horizontalCentered="1"/>
  <pageMargins left="0.1968503937007874" right="0.1968503937007874" top="0.3937007874015748" bottom="0" header="0.3149606299212598" footer="0.3149606299212598"/>
  <pageSetup orientation="landscape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COLD5月スケジュール</dc:title>
  <dcterms:created xsi:type="dcterms:W3CDTF">2006-09-16T00:00:00Z</dcterms:created>
  <dcterms:modified xsi:type="dcterms:W3CDTF">2024-09-10T01:29:10Z</dcterms:modified>
  <cp:lastModifiedBy>Hei Leong Leo Ng</cp:lastModifiedBy>
  <cp:lastPrinted>2024-09-01T15:13:45Z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976fac2-3147-4095-89f0-ec332fb3dd02_Enabled" fmtid="{D5CDD505-2E9C-101B-9397-08002B2CF9AE}" pid="2">
    <vt:lpwstr>true</vt:lpwstr>
  </property>
  <property name="MSIP_Label_4976fac2-3147-4095-89f0-ec332fb3dd02_SetDate" fmtid="{D5CDD505-2E9C-101B-9397-08002B2CF9AE}" pid="3">
    <vt:lpwstr>2024-05-24T07:52:30Z</vt:lpwstr>
  </property>
  <property name="MSIP_Label_4976fac2-3147-4095-89f0-ec332fb3dd02_Method" fmtid="{D5CDD505-2E9C-101B-9397-08002B2CF9AE}" pid="4">
    <vt:lpwstr>Standard</vt:lpwstr>
  </property>
  <property name="MSIP_Label_4976fac2-3147-4095-89f0-ec332fb3dd02_Name" fmtid="{D5CDD505-2E9C-101B-9397-08002B2CF9AE}" pid="5">
    <vt:lpwstr>4976fac2-3147-4095-89f0-ec332fb3dd02</vt:lpwstr>
  </property>
  <property name="MSIP_Label_4976fac2-3147-4095-89f0-ec332fb3dd02_SiteId" fmtid="{D5CDD505-2E9C-101B-9397-08002B2CF9AE}" pid="6">
    <vt:lpwstr>c0e017e8-740f-4b42-aae5-0b63598c7942</vt:lpwstr>
  </property>
  <property name="MSIP_Label_4976fac2-3147-4095-89f0-ec332fb3dd02_ActionId" fmtid="{D5CDD505-2E9C-101B-9397-08002B2CF9AE}" pid="7">
    <vt:lpwstr>21f18381-1015-4f1f-9335-542887a631a3</vt:lpwstr>
  </property>
  <property name="MSIP_Label_4976fac2-3147-4095-89f0-ec332fb3dd02_ContentBits" fmtid="{D5CDD505-2E9C-101B-9397-08002B2CF9AE}" pid="8">
    <vt:lpwstr>0</vt:lpwstr>
  </property>
</Properties>
</file>